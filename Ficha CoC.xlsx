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1" sheetId="1" r:id="rId5"/>
    <sheet state="visible" name="Regras" sheetId="2" r:id="rId6"/>
  </sheets>
  <definedNames/>
  <calcPr/>
</workbook>
</file>

<file path=xl/sharedStrings.xml><?xml version="1.0" encoding="utf-8"?>
<sst xmlns="http://schemas.openxmlformats.org/spreadsheetml/2006/main" count="298" uniqueCount="280">
  <si>
    <t>Atributos</t>
  </si>
  <si>
    <t>PONTOS E SANIDADE</t>
  </si>
  <si>
    <t>PERÍCIAS</t>
  </si>
  <si>
    <t>Patrimonio</t>
  </si>
  <si>
    <t>Outras Regras</t>
  </si>
  <si>
    <t>FORÇA</t>
  </si>
  <si>
    <t>FOR (Força): jogue 3D6 e multiplique por 5 para gerar o atributo Força.
A Força mede o poder muscular de um investigador. Quanto maior for, mais o investigador conseguirá levantar ou se agarrar a algo. Este atributo determina o dano que o investigador causa no combate corpo a corpo. Reduzido a FOR 0, um investigador estará inválido, incapaz de sair da cama.</t>
  </si>
  <si>
    <t>PONTOS DE VIDA</t>
  </si>
  <si>
    <t>Pontos de Vida [CON e TAM]
Pontos de Vida são usados para medir o dano cumulativo causado a um investigador, personagem não-jogador ou monstro durante o jogo, além de indicar o quanto eles podem permanecer em ação antes de cair devido à dor, exaustão ou morte. Calcule o total de pontos de vida do personagem somando CON e TAM, e dividindo o total por dez (arredondando para baixo as frações). A ficha de investigador foi projetada para ajudar o jogador a acompanhar seus pontos de vida e ferimentos. Anote o Total de Pontos de Vida do investigador na caixa indicada como “Pontos de Vida".</t>
  </si>
  <si>
    <t>Antropologia</t>
  </si>
  <si>
    <t>Antropologia (01%)
Habilita o usuário a identificar e entender o modo de vida de um indivíduo através da observação. Se o usuário dessa perícia observa outra cultura por algum tempo, estando imerso nela ou utilizando registros precisos sobre uma cultura extinta, então previsões simples podem ser feitas sobre os costumes e a moral de tal cultura, mesmo que as evidências possam estar incompletas. Estudando a cultura por um mês ou mais, o antropólogo começa a entender como ela funciona e, combinando essa perícia com Psicologia, pode prever as ações e crenças daqueles que estão sendo estudados.
Exemplos de testes Forçados: ficar mais tempo estudando determinada cultura; viver como um “nativo” por um tempo; assumir um papel ativo em uma cerimônia, rito, etc.
Exemplos de fracasso em testes Forçados: ser atacado ou aprisionado pelo povo estudado devido a alguma transgressão de suas leis ou costumes sociais; sofrer graves efeitos colaterais como resultado de ingerir plantas psicotrópicas em uma cerimônia.
Se um investigador insano falhar em um teste forçado, ele ou ela se perderá na cultura estudada, como, por exemplo, o personagem fotojornalista de Dennis Hopper no filme Apocalypse Now.</t>
  </si>
  <si>
    <t>Nível de Crédito</t>
  </si>
  <si>
    <t>0: Pobretão - Uma pessoa que sequer pode pagar pelo nível de “pobre” é considerada um pobretão. Acomodações: essa pessoa viveria na rua. Viagem: a pé, pegando carona ou clandestino em um trem ou navio.
1-9: Pobre - Capaz de pagar por um teto qualquer sobre a cabeça e pelo menos uma parca refeição por dia. Acomodações: restrito ao aluguel mais barato ou a um albergue sujo. Viagem: transporte público do tipo mais barato. Qualquer veículo possuído será barato e não confiável. 
10-49: Médio - Um nível razoável de conforto, três refeições por dia e uma diversão ocasional. Acomodações: uma casa ou apartamento comum, alugado ou não. Pode ficar em hotéis com preços moderados. Viagem: formas padrão de viagem podem ser usadas, mas não de primeira classe. Em tempos modernos, esta pessoa provavelmente possuiria um carro confiável. 
50-89: Abastado - Este nível de riqueza oferece luxo e conforto. Acomodações: uma residência de tamanho considerável, talvez com alguma ajuda doméstica (mordomo, governanta, faxineiro, jardineiro etc.). Possivelmente uma segunda casa no interior ou em outro país. Hospeda-se em hotéis caros. Viagem: primeira classe. Esta pessoa poderia ser proprietária de um carro caro ou equivalente. 
90+: Rico - Este nível de riqueza proporciona grande luxo e conforto. Acomodações: uma residência de luxo ou propriedade com abundante ajuda doméstica (mordomo, serviçais, faxineiro, jardineiro etc.). Outras residências no interior e em outros países. Fica nos melhores hotéis. Viagem: primeira classe. Em tempos modernos, essa pessoa seria proprietária de vários carros de luxo. Não há necessidade de se contabilizar gastos com acomodações, comida ou despesas de viagem, desde que os gastos do investigador estejam dentro dos limites de seu padrão de vida. Consulte a Tabela II: Dinheiro e Patrimônio (página 47) caso o investigador deseje fazer compras mais significativas. 
99: Ricaço - Como o Rico, mas dinheiro realmente não é problema. Os indivíduos desta categoria estão entre os mais ricos do mundo</t>
  </si>
  <si>
    <t>Teste de Ideia</t>
  </si>
  <si>
    <t>Testes de Ideia (INT)
O teste de Ideia é diferente de todos os outros. Se você achar que ficou preso e que não sabe para onde seguir com o jogo, então você sempre tem a opção de pedir por um teste de Ideia. Talvez você tenha perdido uma pista importante ou simplesmente não tenha adivinhado completamente as coisas. O teste de Ideia combina os poderes dedutivos, a memória e a intuição de seu investigador, concedendo uma pista que colocará o jogo de volta a seus trilhos. Mas tenha cuidado — quanto mais óbvia for a pista, maior a probabilidade de você se ver em maus lençóis no momento em que descobri-la.</t>
  </si>
  <si>
    <t>CONSTITUIÇÃO</t>
  </si>
  <si>
    <t>CON (Constituição): jogue 3D6 e multiplique por 5 para gerar o atributo Constituição.
A Constituição representa saúde, vigor e vitalidade. Venenos e doenças podem desafiar diretamente a constituição de um investigador. Investigadores com constituição alta muitas vezes têm mais pontos de vida — o que é melhor para resistir a ferimentos e ataques. Lesões físicas graves ou ataques mágicos podem diminuir esse atributo, e, se a Constituição chegar a zero, o investigador morre.</t>
  </si>
  <si>
    <t>PONTOS DE MAGIA</t>
  </si>
  <si>
    <t>Os pontos de Magia devem (na maioria dos casos) ser gastos para lançar feitiços, bem como para energizar artefatos, carregar portais mágicos e assim por diante. Um investigador começa o jogo com pontos de Magia iguais a um quinto de seu POD; no entanto, cultistas e feiticeiros poderosos muitas vezes têm quantidades maiores de pontos para utilizar. Quando um indivíduo estiver sem pontos de Magia, qualquer gasto adicional é reduzido diretamente de seus pontos de vida. A perda de pontos de vida dessa forma se manifesta como um dano físico cuja forma é determinada pelo Guardião — talvez chagas e cortes se abram no corpo, bolhas surjam na pele ou sangue saia pelos olhos ou ouvidos. Gastar ou sacrificar pontos de Magia ou pontos de POD exige apenas a vontade de seu dono. Fazê-lo pode deixar sensações de prazer misturadas com arrependimento, um entorpecimento na alma, ou pode não trazer qualquer consequência notável. A essência ou energia do conjurador é canalizada para alimentar o feitiço.</t>
  </si>
  <si>
    <t>Armas de Fogo</t>
  </si>
  <si>
    <t xml:space="preserve">(% variável)
Abrange todos os tipos de armas de fogo, bem como arcos e bestas. Você pode gastar pontos de perícia para comprar qualquer especialização. A perícia genérica “Armas de Fogo” não pode ser comprada. Escolha especializações apropriadas para a ocupação e os antecedentes do seu investigador. 
Nota: sendo uma perícia de combate, não pode ser forçada.
Especializações em Armas de Fogo:
Arcos (15%): uso de arcos e bestas, desde arcos longos medievais até arcos compostos modernos de alta potência.
Armas Pesadas (10%): use para lançadores de granadas, mísseis antitanque, etc.
Lança-chamas (10%): armas que projetam um fluxo de líquido ou gás inflamável em chamas. Podem tanto ser transportadas pelo operador ou armadas em um veículo.
Metralhadoras (10%): armas que disparam rajadas a partir deu m bipé ou tripé armado. Para disparos únicos a partir de um bipé, use a perícia Rifles. As diferenças entre fuzis de assalto, submetralhadoras e metralhadoras leves são tênues hoje em dia.
Pistolas (20%): use para todas as armas de fogo do tipo pistola quando estiver disparando tiros simples. Para pistolas-metralhadoras (MAC-11, Uzi, etc.) em jogos ambientados na Era Moderna, use a perícia Submetralhadoras quando estiver disparando rajadas.
Rifles/Espingardas (25%): com esta perícia pode-se usar qualquer tipo de rifle (seja de alavanca, ferrolho ou semiautomático) ou arma de cartuchos de projéteis múltiplos. Já que o disparo de uma Espingarda se espalha, a chance de o usuário errar não diminui com a distância, mas o dano causado sim. Quando um fuzil de assalto disparar em modo de tiro único (ou múltiplos disparos simples), use essa perícia.
</t>
  </si>
  <si>
    <t>Dinheiro</t>
  </si>
  <si>
    <t>Dinheiro: Não é necessariamente carregado com a pessoa. O Guardião pode perguntar onde ele está sendo guardado. Por exemplo, se o investigador estiver viajando para o exterior, ele o está mantendo em sua carteira ou há alguém em casa que pode lhe transferir dinheiro quando solicitado? Isso terá um impacto caso o investigador seja roubado ou perca seu equipamento.</t>
  </si>
  <si>
    <t>Teste de Inteligência</t>
  </si>
  <si>
    <t>Testes de Inteligência (INT)
Embora os teste de Inteligência usem o mesmo atributo que um teste de Ideia (INT), essas duas jogadas representam coisas diferentes. Um teste de Ideia é usado quando você não sabe qual será seu próximo passo em uma investigação. Já um teste de Inteligência é feito quando seu investigador está tentando resolver um quebra- cabeças intelectual de algum tipo. Isso pode incluir resolver palavras cruzadas, responder a um enigma ou decodificar uma mensagem enigmática.</t>
  </si>
  <si>
    <t>DESTREZA</t>
  </si>
  <si>
    <t>DES (Destreza): Jogue 3D6 e multiplique por 5 para gerar o atributo Destreza.
Investigadores com valores altos de Destreza são mais rápidos, mais ágeis e mais fisicamente flexíveis. Um teste de DES pode ser feito para se agarrar em algum lugar e evitar uma queda, para se mover mais rápido do que um adversário ou para realizar alguma tarefa delicada. Um investigador com zero de DES é descoordenado e incapaz de executar tarefas físicas. Em combate, o personagem com a DES mais alta age primeiro.</t>
  </si>
  <si>
    <t>SANIDADE</t>
  </si>
  <si>
    <t>Os pontos de Sanidade devem ser acompanhados cuidadosamente, pois seu valor pode aumentar ou diminuir ao longo do jogo. Quando os investigadores encontram uma situação que ameaça a sanidade, o Guardião pode pedir um teste de Sanidade. Cada jogador cujo investigador vivencia tal fonte de horror deve jogar 1D100. Uma jogada igual ou menor que o número atual de pontos de Sanidade do investigador é um sucesso. Dados de bônus e dados de penalidade não são aplicados a testes de Sanidade .  Um teste bem-sucedido significa que o investigador não perde nenhum ponto de Sanidade, ou que perde apenas uma quantidade mínima. Um fracasso em um teste de Sanidade sempre significa que o investigador perde pontos de Sanidade. A quantidade perdida depende do feitiço, livro, entidade ou situação encontrada.</t>
  </si>
  <si>
    <t>Arqueologia</t>
  </si>
  <si>
    <t>Arqueologia (01%)
Permite datar e identificar artefatos de culturas passadas e detectar falsificações. Garante conhecimento especializado quanto à organização e escavação de um sítio arqueológico. Ao inspecionar um sítio arqueológico, o usuário pode deduzir os propósitos e costumes daqueles que abandonaram os objetos. Antropologia poderia ajudar nisso. Antropologia poderia ajudar nisso. Arqueologia também ajuda a identificar a escrita de idiomas humanos extintos.
Exemplos de testes Forçados: gastar mais tempo estudando o sítio ou objeto; realizar mais pesquisas; consultar outro especialista.
Exemplos de fracasso em testes Forçados: o sítio é prejudicado, tendo achados arruinados devido à incompetência, vandalismo ou roubo; alguma autoridade superior tira o sítio ou as descobertas de seu controle; a publicidade leva ao roubo de descobertas.
Se um investigador insano falhar em um teste forçado, ele ou ela continua escavando cada vez mais fundo — a verdade está em algum lugar lá embaixo.</t>
  </si>
  <si>
    <t>Patrimônio</t>
  </si>
  <si>
    <t>Patrimônio: O patrimônio consiste nas coisas que seu investigador possui no início do jogo, e o valor em dólares no gráfico representa o valor total de tais coisas. O jogador deve anotar o valor em dólares e decidir o que ele representa — geralmente propriedades ou investimentos — ou talvez ações em uma empresa. A lista padrão de posses está incluída nos vários escopos dos padrões de vida. Se o seu padrão de vida inclui uma casa e um carro, estas coisas constituem parte de seu patrimônio.</t>
  </si>
  <si>
    <t>Teste de Saber</t>
  </si>
  <si>
    <t>Testes de Saber (EDU)
Todo mundo sabe um pouco sobre diferentes tópicos. O teste de Saber representa o que está armazenado no sótão intelectual do cérebro. O investigador pode ser capaz de identificar uma determinada espécie de árvore (sem ter estudado Botânica), lembrar a geografia do Tibete (sem um teste de Navegação) ou saber quantas patas aracnídeos têm (e possuir apenas um único ponto em Biologia).</t>
  </si>
  <si>
    <t>APARÊNCIA</t>
  </si>
  <si>
    <t>APA (Aparência): Jogue 3D6 e multiplique por 5 para gerar o atributo Aparência. 
A Aparência mede tanto a atratividade física quanto a personalidade. Uma pessoa com uma APA alta é encantadora e simpática, mas pode não ser bonita no sentido convencional. Um investigador com APA 0 é terrivelmente feio ou alguém com uma atitude completamente detestável, provocando comentários e comoção onde quer que vá. A APA pode ser útil em encontros sociais ou quando se tenta causar uma boa impressão.</t>
  </si>
  <si>
    <t>SANIDADE MÁXIMA</t>
  </si>
  <si>
    <t>A ameaça de insanidade em Chamado de Cthulhu caracteriza o Mythos de Cthulhu de uma forma que não permite concessões. Expostos a eles, poucos humanos sãos escolhem livremente o Mythos, pois o Mythos é intrinsecamente repugnante e nefasto. A conexão entre os pontos de Sanidade e os pontos na perícia Mythos de Cthulhu enfatiza o poder do Mythos, que corrompe e arruína por proximidade e associação. Os pontos de Sanidade de um investigador podem aumentar e diminuir durante o jogo; no entanto, nunca podem ultrapassar o valor máximo de Sanidade do personagem. Cada investigador possui um valor máximo de pontos de Sanidade, que começa em 99. Conhecimento do Mythos de Cthulhu sempre diminui os pontos máximos de Sanidade de um investigador. Os pontos máximos de Sanidade são iguais a 99 menos os pontos atuais de Mythos de Cthulhu (99- a perícia Mythos de Cthulhu). Ao ganhar pontos em Mythos de Cthulhu, o jogador deve diminuir a Sanidade máxima do investigador na mesma quantidade.</t>
  </si>
  <si>
    <t>Arremessar</t>
  </si>
  <si>
    <t>Arremessar (20%)
Use Arremessar para acertar um alvo com um objeto ou com a parte correta de um objeto (como a lâmina de uma faca ou machadinha). Um objeto que caiba na mão e seja de peso razoável (ou uma arma projetada para ser arremessada) pode ser atirado até uma distância igual a FOR dividido por 5 metros. Se o teste de Arremessar falhar, o objeto cai a alguma distância aleatória do alvo. O Guardião deve comparar quão próximo de um sucesso foi o teste e escolher uma distância que pareça apropriada entre objeto arremessado e alvo.
A perícia Arremessar é usada em combate quando se lançam facas, pedras, lanças, granadas ou bumerangues. Uma vez que um item tenha sido arremessado, ele estará literalmente fora das mãos do investigador e, portanto, não há nada que o jogador possa fazer para justificar um teste Forçado. Se houver múltiplos projéteis disponíveis, não houver risco relacionado ao fracasso e for apenas uma questão de tempo até o investigador ser bem-sucedido, não sendo preciso fazer testes.
Exemplos de testes Forçados: gastar mais tempo para avaliar a distância ou aguardar algum tempo por condições mais favoráveis; colocar toda força no arremesso e lançar-se para frente junto ao movimento; lançar vários itens em rápida sucessão, esperando que algum deles atinja o alvo; correr bastante antes do arremesso e arriscar que o impulso tomado faça você cair do barranco.
Exemplos de fracasso em testes Forçados: você arremessa o objeto em um companheiro enquanto tropeça e cai, batendo a cabeça contra as pedras pontudas; você arremessa forte demais e o objeto voa por cima do grande muro da igreja e cai no cemitério; a banana de dinamite escorrega de sua mão — você procura em vão, mas não consegue vê-la presa ao seu capuz, e só então sente o cheiro do pavio queimando.
Se um investigador insano falhar um teste forçado, ele ou ela se recusará a soltar o item que deveria ser arremessado.</t>
  </si>
  <si>
    <t>Teste de Sorte</t>
  </si>
  <si>
    <t>Testes de Sorte
Testes de Sorte se aplicam a circunstâncias externas. Se outra perícia ou atributo puder ser usado, então um teste de Sorte não é apropriado. Por exemplo, se você estiver na velha casa quando as luzes se apagarem e quiser determinar se há alguma vela nas gavetas da cozinha — não há nenhuma perícia que possa determinar isso. O Guardião poderia simplesmente decidir, ou então pode deixar tudo para a Sorte. Como jogador, você vai querer que seu investigador tenha boa sorte, mas como este é um jogo de terror, espere que o Guardião fique mais do que feliz em compensar com má sorte. A Sorte também pode ser útil em combate quando você quiser encontrar uma arma improvisada útil. O Guardião pode permitir que um teste de Sorte determine existe algum cano de chumbo ou taco de beisebol por perto. A Sorte é um valor que nunca é afetado por dados de penalidade ou de bônus, e os testes são feitos apenas contra seu valor atual.</t>
  </si>
  <si>
    <t>TAMANHO</t>
  </si>
  <si>
    <t>TAM (Tamanho): Jogue 2D6+6 e multiplique por 5 para gerar o atributo Tamanho.
O Tamanho representa altura e peso, ambos em um único número. Para enxergar por sobre um muro, espremer-se através de uma pequena abertura ou até mesmo para saber de quem é a cabeça que está despontando da grama, use o tamanho. O tamanho ajuda a determinar os pontos de vida, o dano extra e o Corpo. Pode-se diminuir o TAM para indicar a perda de um membro, embora reduzir a DES seja a solução mais frequente. Provavelmente, se os investigadores perderem todos os pontos de TAM, eles desaparecem — só os deuses sabem para onde!</t>
  </si>
  <si>
    <t>Arte e Ofício</t>
  </si>
  <si>
    <t>Arte e Ofício (Especializações) (05%)
A ficha de investigador contém espaços em branco para especializações nesta perícia, como, por exemplo:
Atuação, Barbearia, Carpintaria, Sapataria, Culinária, Dança, Belas Artes, Falsificação, Dançarino de Morris, Cantor de Ópera, Pintura e Decoração, Fotografia, Olaria, Escultura, Escritor, Marcenaria
Muitos desses exemplos são perícias diretamente ligadas a uma profissão, mas a perícia pode ser apenas uma atividade de lazer. Você pode gastar pontos de perícia para comprar qualquer especialização. A perícia genérica “Arte e Ofício” não pode ser comprada. Essa perícia permite a criação ou conserto de um item — normalmente exigindo equipamento e tempo, a serem determinados pelo Guardião, se necessário. Em situações em que a gradação de sucesso pode ser apropriada, níveis maiores de sucesso indicam itens de maior qualidade e/ou precisão. 
Uma perícia de arte ou ofício também pode ser usada para duplicar ou falsificar um objeto. Neste caso, o nível de dificuldade dependeria da complexidade e em quão distinta é a peça original. Para falsificar documentos, é utilizada uma especialização específica: (Falsificação). 
Um teste bem-sucedido pode fornecer informações sobre um item, como, por exemplo, onde ou quando ele poderia ter sido confeccionado, alguma informação sobre sua história ou técnica de fabricação, ou então sobre quem poderia tê-lo produzido. Possuir uma especialidade dessa perícia representa ter uma ampla gama de conhecimentos dentro de um campo particular — conhecimento do assunto, de sua história e de praticantes contemporâneos, bem como a capacidade de pôr em prática suas técnicas.
Exemplos de testes Forçados: retrabalhar o objeto, peça ou composição do zero; realizar mais pesquisas; consultar outro especialista.
Exemplos de fracasso em testes Forçados: uma grande quantidade de tempo e dinheiro é desperdiçada com uma tentativa fracassada; a audiência ou cliente ficam ofendido ou fisicamente feridos por algum aspecto do seu trabalho; os críticos atacam a sua obra e ninguém deseja mais os seus serviços.
Se um investigador insano falhar em um teste forçado, ele ou ela cria um trabalho transgressivo que choca e provoca reações violentas — talvez somente os mais decadentes possam apreciá-lo.
Exemplos de Especializações em Arte e Ofício
Atuação (05%): O intérprete é treinado em atuação teatral e/ou cinematográfica (na era moderna, isso também pode incluir televisão), capaz de adotar uma persona, memorizar roteiros e utilizar a maquiagem de palco/filme para alterar sua aparência. Veja Disfarce.
Belas Artes (05%): O artista é talentoso na arte da pintura (óleo, acrílico, aquarela), bem como em fazer esboços com lápis, giz ou pastel. Embora obras de arte sérias possam levar muitos dias ou meses para serem concluídas, o artista pode rapidamente desenhar esboços, objetos e pessoas. A perícia também denota uma familiaridade com o “mundo da arte”, e o personagem pode ser capaz de determinar obras, escola e história de um determinado artista.
Falsificação (05%): Adepto dos detalhes precisos, o usuário pode produzir documentos falsos de alta qualidade, seja a caligrafia de uma pessoa, um formulário ou licença burocrática, ou a duplicação de um tomo. O falsificador precisará de materiais adequados (tintas, papel etc.), bem como de um objeto original do qual copiar. Um teste bem-sucedido indica que a falsificação será considerada verdadeira em inspeções rápidas e costumeiras. Alguém que gaste tempo para examinar minuciosamente a falsificação usaria a perícia Avaliação (resistida pela perícia do forjador) para determinar se a falsificação pode ser notada.
Fotografia (05%): Abrange tanto fotografia comum quanto a cinematográfica. Esta perícia permite tirar fotos claras, desenvolvê-las adequadamente e melhorar a definição de detalhes que possam estar difusos. Na década de 1920, o usuário é capaz de preparar o material químico necessário para fazer flash em pó (ver Fotografia Perigosa, página 173). Atualmente, a perícia se estende para cobrir câmeras de vídeo, equipamentos de reprodução de vídeo, fotografia e edição digital, sendo o usuário experiente na manipulação de imagens digitais. Versões radicalmente diferentes podem ser criadas a partir de uma fonte original, como alterar a localização de uma pessoa em uma foto, com quem ela está e o que está fazendo. Essa perícia também permite perceber que uma imagem foi manipulada. Fotos corriqueiras não exigem testes. Testes seriam necessários apenas para se obter fotografias de uma pessoa que não sabe estar sendo fotografada, ou conseguir capturar detalhes minuciosos — especialmente a longas distâncias, em movimento ou com pouca luz. Essa perícia também pode permitir que o investigador determine se uma fotografia foi adulterada ou forjada, bem como o ângulo e a posição a partir dos quais uma foto foi tirada.</t>
  </si>
  <si>
    <t>Treinamento</t>
  </si>
  <si>
    <t>Treinamento
Um investigador pode estudar ou treinar por quatro meses e ganhar uma verificação de melhoria para uma perícia. Isso é testado durante a fase de desenvolvimento dos investigadores (ver página 94, Livro Básico de Chamado de Cthulhu). Uma verificação de melhoria ocorre automaticamente ao concluir com sucesso um segmento de treinamento. Mas, tenha em mente que se o investigador se aventurar muitas vezes durante um semestre, isso invalidará o seu treinamento ou aprendizado em sala de aula durante o período.
*Alguns cursos de treinamento podem durar menos de quatro meses, com alguns ocorrendo ao longo de alguns dias ou semanas de treinamento intensivo. Nesses, o Guardião pode dizer que o treinamento foi suficiente para justificar uma verificação de melhoria.</t>
  </si>
  <si>
    <t>INTELIGÊNCIA</t>
  </si>
  <si>
    <t>INT (Inteligência): Jogue 2D6+6 e multiplique por 5 para gerar o atributo Inteligência. 
A Inteligência representa o quão bem os investigadores aprendem, lembram, analisam informações e resolvem enigmas complexos. Um investigador com INT zero é um idiota balbuciante e babão. A inteligência determina a quantidade de pontos de perícia de Interesses Pessoais (multiplique INT ×2) atribuída a um novo investigador (ver Interesses Pessoais, página 50). A INT também atua como o valor para ambos os testes de Ideia e Inteligência. Se a quantidade de INT parecer contradizer outro atributo, esta é outra oportunidade de interpretação e melhor definição de seu investigador. Por exemplo, um investigador com EDU alta e INT baixa pode ser um professor pedante ou um artista de feira, alguém que conhece os fatos, mas não seus significados. Por outro lado, uma INT alta com EDU baixa pode significar ignorância — como um menino de fazenda não escolarizado, novo na Cidade Grande —, porém essa pessoa não seria estúpida.</t>
  </si>
  <si>
    <t>Artilharia</t>
  </si>
  <si>
    <t>Artilharia (01%) [Incomum]
Esta perícia denota algum treinamento e experiência militar. O usuário tem experiência na operação de armas usadas em campo de guerra: é capaz de trabalhar em uma “tripulação” ou “destacamento” para operar equipamento que utilize calibres maiores do que o das armas pessoais. Muitas armas desta natureza são muito grandes para serem operadas por uma única pessoa, então ou um indivíduo não consegue usar a arma sem uma equipe, ou o nível de dificuldade para operá-la deveria ser maior (a critério do Guardião, dependendo da arma). Existem várias especializações, dependendo do período em que o jogo está ambientado, podendo incluir canhões, morteiros e lança-mísseis.
Nota: sendo uma perícia de combate, não pode ser forçada</t>
  </si>
  <si>
    <t>Exame de Realidade</t>
  </si>
  <si>
    <t>Fazendo Exames da Realidade
Seu investigador está propenso a ter delírios enquanto está louco e não pode mais confiar em seus sentidos. No jogo, a única forma de saber o que seu investigador está vendo e ouvindo é através do que o Guardião está lhe dizendo. Se você não pode confiar em seus sentidos, então, na verdade, você não pode confiar no que o Guardião está dizendo que seu personagem percebe. O Guardião pode dizer um carniçal salta em cima de seu investigador insano; no entanto, o monstro pode ser apenas um sem-teto pedindo uns trocados.
Se você quiser sacudir a cabeça e recobrar seus sentidos, esforçando-se para ver através do que pode ser uma alucinação insana, simplesmente diga ao Guardião que você quer fazer um teste de Exame da Realidade. Você sempre tem a opção de lutar contra a loucura — mas se você falhar no exame da realidade, a loucura vai contra-atacar!</t>
  </si>
  <si>
    <t>PODER</t>
  </si>
  <si>
    <t>POD (Poder): Jogue 3D6 e multiplique por 5 para gerar o atributo Poder.
Poder indica a força de vontade: quanto maior o POD, maior a aptidão mágica e a resistência à magia. Um investigador com POD zero é apático e sem “propósito”, além de ser incapaz de usar magia. Salvo quando indicado o contrário, o POD perdido durante o jogo não pode ser recuperado. Os pontos de Sanidade (SAN) começam iguais ao POD do personagem. O POD também determina o número de “pontos de magia” do personagem, os quais, ao contrário do POD, podem ser gastos e regenerados durante o jogo. A quantidade de Pontos de Magia começa igual a um quinto do POD. O POD de personagens e investigadores comuns raramente muda. No entanto, aqueles versados nos mistérios da magia do Mythos de Cthulhu podem conseguir aumentar seu POD.</t>
  </si>
  <si>
    <t>Conhecimento</t>
  </si>
  <si>
    <t>Conhecimento (01%) (Especializações) [Incomum]
Esta perícia representa a compreensão do personagem sobre algum assunto que está fora dos limites normais do conhecimento humano. As especializações de Conhecimento devem ser específicas e incomuns, tais como:
• Conhecimento Sobre Sonhos 
• Conhecimento do Necronomicon (a história do livro)
• Conhecimento Ufológico 
• Conhecimento Sobre Vampiros
• Conhecimento Sobre Lobisomens 
• Conhecimento Yaddithiano
Quando o Guardião deseja testar o conhecimento de um investigador acerca de algo que está dentro dos limites de uma dessas áreas de Conhecimento, mas o investigador não possui a especialização de Conhecimento apropriada, o Guardião pode permitir que outra perícia (mais geral) seja usada, mas exigir um nível de sucesso maior. Por exemplo, se o Guardião estiver testando o conhecimento de um investigador moderno sobre abduções alienígenas na década de 80, poderia pedir um sucesso Regular usando Conhecimento Ufológico ou um sucesso Sólido usando História. 
As perícias de Conhecimento também são usadas como um método sucinto do Guardião repassar o conhecimento específico possuído por um personagem não-jogador. O conhecimento geral de um personagem costuma ser representado pelo atributo EDU e por perícias específicas, como História ou Mythos de Cthulhu. O Guardião deve decidir quando a perícia Conhecimento deve ser incorporada ao jogo — geralmente apenas quando uma área específica de conhecimento especializado é central para a campanha.</t>
  </si>
  <si>
    <t>EDUCAÇÃO</t>
  </si>
  <si>
    <t>EDU (Educação): Jogue 2D6+6 e multiplique por 5 para gerar o atributo Educação.
A Educação é uma medida para o conhecimento formal e factual possuído pelo investigador, bem como um indicativo do tempo que o investigador gastou na educação formal. A EDU mede a informação retida, não a aplicação inteligente de tal informação (ver Inteligência, acima). Um investigador sem EDU seria como um bebê recém-nascido ou um amnésico — sem conhecimento do mundo, provavelmente muito curioso e crédulo. Uma EDU de 60 sugere que o investigador é um graduado no ensino médio, enquanto uma pontuação de cerca de 70 indica uma pessoa com alguns anos de faculdade. Aqueles com uma EDU maior que 80 muito provavelmente realizaram trabalho de nível de pós-graduação e possuem um diploma, como esperado de uma pessoa que tenha estado em uma universidade de algum tipo. Note que, às vezes, uma pessoa com uma Educação alta pode não ter sido necessariamente educada em escolas e faculdades tradicionais, mas pode ser autodidata e possuir uma natureza altamente estudiosa e observadora. A EDU é um fator na determinação da quantidade pontos de Perícias Ocupacionais (ver Perícias Ocupacionais, página 49) que um investigador começa e representa a porcentagem inicial do investigador na perícia Língua Nativa (ver página 109). A EDU também é usada para Testes de Saber.</t>
  </si>
  <si>
    <t>Avaliação</t>
  </si>
  <si>
    <t>Avaliação (01%)
Usada para estimar o valor de um item em particular, incluindo a qualidade, material utilizado e mão de obra. Quando relevante, o usuário dessa perícia pode identificar a idade do item, avaliar sua relevância histórica e detectar falsificações.
Exemplos de testes Forçados: verificar a validade de um item com outro especialista; realizar testes; pesquisar mais sobre um item.
Exemplos de fracasso em testes Forçados: acidentalmente arruinar o item em questão; chamar a atenção de outras pessoas para o item, levando ao seu roubo; ativar o item de alguma forma.
Se um investigador insano falhar em um teste forçado, ele ou ela poderia destruir o item, acreditando que seja amaldiçoado; ou então pode considerar o item como sua salvação pessoal e se recusar a cedê-lo para qualquer outra pessoa.</t>
  </si>
  <si>
    <t>SORTE</t>
  </si>
  <si>
    <t>O Guardião pode exigir testes de Sorte quando circunstâncias externas à competência dos investigadores estiverem em questão e também ao determinar a mão caprichosa do destino. Se uma perícia ou atributo for aplicável a uma situação, então esta deve ser usada em vez de Sorte. Se o Guardião pedir um teste Coletivo de Sorte, o jogador cujo investigador tem o menor valor de Sorte (dentre os presentes na cena) deve fazer o teste. Se algo ruim deve acontecer com um membro do grupo, o Guardião pode simplesmente perguntar quem tem a pontuação de Sorte mais baixa naquele momento e fazer com que tal indivíduo sofra o infeliz evento.</t>
  </si>
  <si>
    <t>Cavalgar</t>
  </si>
  <si>
    <t>Cavalgar (05%)
Esta perícia destina-se a ser usada com cavalos de montaria, burros ou mulas, e concede conhecimentos sobre o cuidado básico de animais de equitação, equipamentos de equitação e como lidar com a montaria durante um galope ou em terreno difícil. Se uma montaria inesperadamente empinar ou tropeçar, a chance do cavaleiro permanecer montado é igual à sua perícia Cavalgar. Cavalgar usando sela lateral aumenta o nível de dificuldade em um nível. Uma montaria desconhecida (como um camelo) pode ser montada com sucesso, mas o nível de dificuldade seria maior. Se um investigador cair de sua montaria, seja porque o animal fraquejou, caiu ou morreu (ou porque ele falhou em um teste forçado de Cavalgar), pelo menos 1D6 pontos de vida são perdidos no acidente — embora um teste de Saltar possa negar essa perda.
Exemplos de testes Forçados: chicotear ou forçar a montaria agressivamente — talvez forçar o cavalo a saltar sobre um barranco ou uma vala grande; assumir o risco e continuar montado em vez de saltar do animal quando um problema se aproxima.
Exemplos de fracasso em testes Forçados: o cavaleiro é arremessado da montaria e recebe dano de queda; a montaria é ferida; o pé do cavaleiro enrola nos estribos e ele acaba sendo arrastado por certa distância.
Se um investigador insano falhar em um teste Forçado, ele ou ela fica obcecado pelo animal.</t>
  </si>
  <si>
    <t>DANO EXTRA E CORPO</t>
  </si>
  <si>
    <t>Todos os investigadores possuem dois atributos secundários conhecidos como “Dano Extra” (DX) e Corpo. Criaturas e humanos maiores e mais fortes causam mais dano físico do que seus semelhantes mais fracos. Para determinar o dano extra, some FOR e TAM e procure o total na Tabela I: Dano Extra e Corpo. Cada intervalo de resultados correlaciona-se com um modificador ou jogada de dados. O Corpo é determinado usando-se os mesmos parâmetros. Para combate corpo a corpo, adicione o modificador de Dano Extra indicado ou faça as jogadas apropriadas para todos os golpes do personagem, seja usando uma arma natural, como um punho, ou uma arma corpo a corpo, como um porrete ou uma faca. O Corpo é usado em manobras de luta e perseguições, e também para dar uma sensação de escala.
Nota: O dano extra não é aplicado a ataques de armas de fogo</t>
  </si>
  <si>
    <t>Charme</t>
  </si>
  <si>
    <t>Charme (15%)
Charme assume muitas formas, incluindo atração física, sedução, lisonja ou simplesmente uma personalidade calorosa. O Charme pode ser usado para fazer alguém agir de determinada maneira, mas não de uma forma completamente contrária ao comportamento normal dessa pessoa. Charme é resistido pelas perícias Charme ou Psicologia. Charme pode ser usado para barganhar, para diminuir o preço de itens ou serviços. Se o teste for bem-sucedido, o vendedor é conquistado e ele pode muito bem reduzir um pouco os preços.
Exemplos de testes Forçados: lisonjear abertamente o alvo; dar um presente caro; construir confiança compartilhando um segredo. Lembre-se que a questão é ser “charmoso”: se o investigador começar a agir de outro modo, o Guardião pode pedir que uma perícia diferente seja usada; se ameaças forem usadas, pode tornar-se Intimidação; ou se houver uma discussão prolongada, pode tornar-se Persuasão. Alternar de uma para outra para ganhar um segundo teste ainda constitui um teste Forçado.
Exemplos de fracasso em testes Forçados: o alvo se ofende e não quer mais falar com você; o alvo está associado de alguma forma com inimigos seus e, apesar de colaborar com você, também passa informações sobre você; um terceiro elemento intercede para evitar que você flerte com a garota dele. 
Se um investigador insano falhar em um teste forçado ele ou ela fica loucamente apaixonado pelo alvo e agirá como se o alvo tivesse conjurado com sucesso um feitiço de Dominação (ver Livro de Regras de Chamado de Cthulhu) sobre eles.</t>
  </si>
  <si>
    <t>ESQUIVAR</t>
  </si>
  <si>
    <t xml:space="preserve">Esquivar (metade da DES%)
Permite que um investigador instintivamente evite golpes, objetos atirados contra ele, e coisas do gênero. Um personagem pode tentar se esquivar quantas vezes quiser em uma rodada de combate (mas apenas uma vez contra cada ataque específico). A perícia Esquivar pode ser aprimorada através da experiência, como outras perícias. Se um ataque puder ser visto, um personagem pode tentar se esquivar dele. É impos_x0002_sível esquivar-se de balas porque elas não podem ser vistas quando estão em movimento; o melhor que um personagem pode fazer é realizar uma ação evasiva que o torne mais difícil de ser atingido (ver as regras de Buscando Cobertura no Livro de Regras de Chamado de Cthulhu).
Nota: sendo uma perícia de combate, não pode ser forçada. </t>
  </si>
  <si>
    <t>Chaveiro</t>
  </si>
  <si>
    <t>Chaveiro (01%)
Um perito em Chaveiro pode abrir portas de carro, fazer ligações diretas em automóveis, destravar janelas de bibliotecas, resolver caixas-segredo chinesas e desativar sistemas de alarme comerciais comuns. O usuário pode consertar fechaduras, fazer chaves ou abrir fechaduras com a ajuda de chaves mestras, gazuas e outras ferramentas. Fechaduras especialmente difíceis podem ter um nível de dificuldade maior.
Exemplos de testes Forçados: desmontar completamente a fechadura; demorar mais tempo; forçar o mecanismo.
Exemplos de fracasso em testes Forçados: a fechadura é danificada para além do conserto (talvez sua gazua tenha se quebrado dentro dela); você quebra a caixa-segredo (talvez apenas quebrá-la a fará abrir-se, agora); você ativa um alarme, ou faz barulho suficiente para que alguém ou algo venha checar...
Se um investigador insano falhar em um teste forçado, ele ou ela desiste da tranca em questão e percebe o propósito mais elevado de destrancar sua própria mente; um véu foi levantado de seus olhos, e ele agora vê o mundo de uma nova forma que faz todo o sentido para ele, mas que não faz qualquer sentido para ninguém de mente sã.</t>
  </si>
  <si>
    <t>Taxa de Movimento</t>
  </si>
  <si>
    <t>Taxa de Movimento (MOV)
Um investigador pode se mover, em uma rodada, uma quantidade de metros até cinco vezes o seu atributo MOV. 
Se tanto DES quanto FOR tiverem valores menores que TAM: MOV 7
Se FOR ou DES for maior ou igual ao TAM, ou se os três forem iguais: MOV 8
Se FOR e DES forem ambas maiores do que TAM: MOV 9</t>
  </si>
  <si>
    <t>Ciências</t>
  </si>
  <si>
    <t>Ciências (Especializações) (01%)
A habilidade prática e teórica com uma especialidade científica sugere algum grau de educação e treinamento formais, embora um cientista amador autodidata também seja uma possibilidade. O entendimento e o escopo são limitados pela era do jogo. Você pode gastar pontos de perícia para comprar qualquer especialização. A perícia genérica “Ciência” não pode ser comprada. Cada especialização cobre uma determinada disciplina e a lista fornecida não é exaustiva. Muitas especialidades se cruzam e se sobrepõem, por exemplo, Matemática e Criptografia, Botânica e Biologia, Química e Farmácia. Quando um personagem não tem a especialização óbvia, pode fazer o teste usando uma especialização aparentada, mas com o nível de dificuldade aumentado (ou usando um dado de penalidade), a critério do Guardião.
Exemplos de testes Forçados: passar mais tempo estudando; realizar pesquisas adicionais (talvez em um laboratório melhor equipado); consultar outro especialista; correr riscos.
Exemplos de fracasso em testes Forçados: o experimento dá completamente errado, causando problemas imprevistos (explosão, fogo, choque elétrico, expulsão para a sexta dimensão, etc.); você interpreta mal as informações e prepara as fórmulas do pó “mágico” incorretamente, com resultados desastrosos. Se um investigador insano falhar em um teste forçado, ele ou ela começa a explorar um aspecto de “ciência estranha” relacionado à sua especialização. Isso pode acabar levando a resultados reais, semelhantes aos de Crawford Tillinghast (da história Do Além, de Lovecraft).
Especializações de Ciência:
Astronomia (01%): O usuário sabe como identificar quais estrelas e planetas podem ser vistos em um determinado dia ou hora do dia ou da noite, quando ocorrem eclipses e chuvas de meteoros, e os nomes de estrelas importantes. Esta perícia também garante conhecimento sobre as percepções atuais quanto à vida em outros planetas, a existência ou a formação de galáxias, e assim por diante. Um acadêmico pode ser capaz de calcular órbitas, discutir ciclos de vida estelares e (nos dias atuais), ter conhecimento de astronomia infravermelha ou de interferometria. 
Biologia (01%): O estudo da vida e dos organismos vivos, incluindo citologia, ecologia, genética, histologia, microbiologia, fisiologia e assim por diante. Com essa perícia, pode-se desenvolver uma vacina contra alguma hedionda bactéria do Mythos, isolar as propriedades alucinógenas de alguma planta da selva ou realizar análises de sangue e/ou matéria orgânica.
Botânica (01%): O estudo da vida vegetal, incluindo classificação de espécies, estrutura, crescimento, reprodução, propriedades químicas, princípios evolutivos, doenças e microscopia. Subdisciplinas da botânica incluem agronomia, silvicultura, horticultura e paleobotânica. Com essa perícia, pode-se identificar as propriedades de uma planta em particular (se é venenosa, comestível ou psicotrópica, por exemplo) e seus usos particulares. 
Criptografia (01%): O estudo de códigos e línguas secretas desenvolvidas por uma ou mais pessoas para ocultar o conteúdo de uma conversa ou mensagem. Um ramo especializado da matemática, essa perícia permite a identificação, criação e/ou decifração de um código. Os códigos geralmente são escritos, mas podem assumir outras formas, como uma mensagem escondida em uma composição musical, arte gráfica ou código de computador (em ambientações modernas). Quebrar um código pode ser um trabalho meticuloso, muitas vezes exigindo uma longa pesquisa e os numerosos processamentos numéricos. 
Ciência Forense (01%): A análise e identificação de evidências. Normalmente associada à investigação de cenas de crime (exame de impressões digitais, DNA, cabelo e fluidos corporais) e trabalhos laboratoriais, a fim de determinar os acontecimentos e fornecer testemunhos profissionais e evidências legais.
Engenharia (01%): Embora tecnicamente não seja uma ciência, é agrupada aqui por conveniência. A ciência trata da identificação de certos fenômenos (através da observação e registro), enquanto que a engenharia aproveita tais descobertas e as utiliza para produzir aplicações práticas como máquinas, estruturas e materiais.
Farmácia (01%): O estudo de compostos químicos e seu efeito em organismos vivos. Tradicionalmente, isso tem envolvido a formulação, criação e administração de medicamentos (seja um curandeiro administrando uma combinação de ervas ou um farmacêutico moderno operando um laboratório). A aplicação dessa perícia garante o uso seguro e efetivo de medicamentos, incluindo sintetizar ingredientes, identificar toxinas e conhecer possíveis efeitos colaterais. 
Física (01%): Concede a compreensão teórica da pressão, materiais, movimento, magnetismo, eletricidade, ótica, radioatividade e fenômenos relacionados, além de alguma capacidade para construir dispositivos experimentais para testar ideias. O grau de conhecimento depende da era em que o jogo está ambientado. Dispositivos práticos, tais como automóveis, não são a área dos físicos, no entanto, dispositivos experimentais podem ser, talvez em uso conjunto com Eletrônica ou Consertos Mecânicos. 
Geologia (10%): Usada para determinar a idade aproximada dos estratos de rocha, reconhecer tipos de fósseis, distinguir minerais e cristais, localizar locais promissores para perfuração ou mineração, avaliar solos, antecipar vulcanismo, eventos sísmicos, avalanches e outros fenômenos do tipo.
Matemática (01%): O estudo dos números e da lógica, incluindo teorias matemáticas e aplicadas e o desenvolvimento de soluções teóricas. Essa perícia pode permitir identificar geometrias não euclidianas, resolver fórmulas enigmáticas e descriptografar padrões ou códigos complexos (ver Criptografia para o estudo especializado de códigos).
Meteorologia (01%): O estudo científico da atmosfera, incluindo sistemas e padrões climáticos, e fenômenos atmosféricos. Use essa perícia para determinar padrões climáticos de longo prazo e efeitos de previsão de tempo como chuva, neve e nevoeiro.
Química (01%): Um estudo sobre a composição das substâncias, os efeitos da temperatura, energia e pressão sobre elas, bem como sobre a forma como afetam umas às outras. Usando a química, pode-se criar ou extrair compostos químicos complexos, incluindo explosivos, venenos, gases e ácidos simples, exigindo pelo menos um dia com equipamentos e produtos químicos adequados. O usuário também pode analisar substâncias desconhecidas, com os equipamentos e reagentes adequados.
Zoologia (01%): O estudo da biologia que se relaciona especificamente com o reino animal, incluindo a estrutura, evolução, classificação, hábitos comportamentais e distribuição  de animais, vivos e extintos. Use essa perícia para identificar espécies de animais a partir da interação com o meio ambiente (pegadas, excrementos, marcas, etc.), prováveis comportamentos e marcas territoriais.</t>
  </si>
  <si>
    <t>Consertos Elétricos</t>
  </si>
  <si>
    <t>INVESTIGADOR</t>
  </si>
  <si>
    <t>Consertos Elétricos (10%)
Permite consertar ou reconfigurar equipamentos elétricos, como sistemas de ignição elétrica, motores elétricos, caixas de fusíveis e alarmes antirroubo. Nos dias atuais, essa perícia tem pouca relação com Eletrônica. Consertar um dispositivo elétrico pode necessitar de peças ou ferramentas especiais. Na década de 1920, pode ser necessário usar Consertos Mecânicos em associação. Consertos Elétricos também pode ser usada em conjunto com explosivos modernos, como detonadores, explosivos plásticos C-4 e minas. Tais armas são projetadas para serem fáceis de armar; apenas um resultado de desastre fará o artefato explodir (lembre-se de que o teste pode ser Forçado). Desarmar explosivos é muito mais complicado, pois podem ser equipados com mecanismos de segurança; aumente o nível de dificuldade quando essa perícia for utilizada para desarmar explosivos — ver Demolições.
Exemplos de testes Forçados: demorar mais para consertar ou reconfigurar o equipamento; tomar um atalho arriscado.
Exemplos de fracasso em testes Forçados: receber dano devido a um choque elétrico; explodir os fusíveis e mergulhar o edifício na escuridão; destruir a peça na qual estava trabalhando, para além de qualquer conserto.
Se um investigador insano falhar em um teste forçado, ele ou ela tenta canalizar no dispositivo a energia elétrica  de organismos vivos.</t>
  </si>
  <si>
    <t>Consertos Mecânicos</t>
  </si>
  <si>
    <t>Consertos Mecânicos (10%)
Esta perícia permite que o investigador conserte uma máquina quebrada ou crie uma nova. Projetos básicos de carpintaria e encanamento podem ser realizados, bem como a construção de objetos (tal como um sistema de polias) e o conserto de itens (como uma bomba a vapor). Podem ser necessárias ferramentas ou peças especiais. Essa perícia pode ser usada para abrir fechaduras domésticas comuns, mas nada mais avançado do que isso — veja a perícia Chaveiro para fechaduras mais complexas. Consertos Mecânicos é uma perícia que complementa Consertos Elétricos, e ambas podem ser necessárias para consertar dispositivos complexos, como um carro ou uma aeronave.
Exemplos de testes Forçados: desmontar o dispositivo completamente; demorar mais tempo; arriscar-se usando força excessiva para ativar o dispositivo (por exemplo, bater no objeto até que funcione).
Exemplos de fracasso em testes Forçados: quebrar o dispositivo além de qualquer conserto; machucar-se enquanto trabalha no dispositivo (talvez cortando a mão etc.); ficar obcecado com o dispositivo e perceber que passou o dia e anoite inteiros trabalhando nele. 
Se um investigador insano falhar em um teste forçado, ele ou ela preenche um caderno de anotações do tamanho de um catálogo telefônico inteiro com rascunhos de projetos, culminando na criação de um dispositivo bizarro que usa matéria orgânica e partes de eletrodomésticos.</t>
  </si>
  <si>
    <t>Contabilidade</t>
  </si>
  <si>
    <t>Contabilidade (05%)
Concede compreensão dos procedimentos de contabilidade e revela o funcionamento financeiro de uma empresa ou pessoa. Inspecionando os registros, pode-se detectar empregados enganados, fundos desviados, pagamento de subornos ou chantagem, e se a condição financeira real é melhor ou pior do que a reivindicada. Vasculhando contas antigas, é possível determinar como o dinheiro foi ganho ou perdido no passado (grãos, escravização, tráfico de bebidas alcoólicas, etc.) e a quem e por qual motivo pagamentos foram feitos.
Exemplos de testes Forçados: gastar mais tempo revisando os documentos; visitar bancos ou empresas para validar descobertas; confrontar os cálculos matemáticos e os dados.
Exemplos de fracasso em testes Forçados: as discussões entre os investigadores e terceiros alertam algum grupo inimigo sobre suas intenções; uma parte vital dos registros é destruída ou perdida (talvez, devido ao cansaço, o investigador derrame café sobre eles).
Se um investigador insano falhar em um teste forçado, ele ou ela pode ser encontrado comendo os registros de contabilidade.</t>
  </si>
  <si>
    <t>OBSERVAÇÕES</t>
  </si>
  <si>
    <t>Demolições</t>
  </si>
  <si>
    <t>Demolições (01%) [Incomum]
Com esta perícia, o usuário tem familiaridade com o emprego seguro de demolições, incluindo armar e neutralizar cargas explosivas. Minas e dispositivos similares são projetados para serem fáceis de instalar (não é necessário
um teste), mas são mais difíceis de se remover ou desarmar. Essa perícia também engloba demolições de nível militar (minas terrestres, explosivos plásticos, etc.). Dados tempo e recursos suficientes, aqueles que são proficientes nessa perícia podem instalar explosivos para demolir um edifício, limpar um túnel bloqueado e reutilizar dispositivos explosivos (como para a criação de artefatos de menor potência, armadilhas e outras coisas mais). Exemplos de testes Forçados: ficar até o último segundo tentando desarmar a bomba; fazer dupla verificação, à mão, de todos os circuitos/conexões.
Exemplos de fracasso em testes Forçados: se estiver desarmando ou removendo um explosivo, a consequência do fracasso em um teste forçado é clara — ele explode! Se estiver usando a perícia Demolições para armar explosivos, a consequência de falhar em um teste forçado pode ser a detonação não ocorrer no momento esperado (ou jamais acontecer), ou então a detonação falha em ter o efeito desejado (muito forte ou muito fraca).
Se um investigador insano falhar um teste forçado, ele ou ela planeja o método mais bizarro de armar o explosivo, como prendê-lo a um gato ou a si próprio.</t>
  </si>
  <si>
    <t>Dirigir Automóveis</t>
  </si>
  <si>
    <t>Dirigir Automóveis (20%)
Qualquer pessoa com esta perícia pode dirigir um carro ou caminhão leve, fazer manobras comuns e lidar com problemas comuns de veículos. Se o investigador quiser despistar ou perseguir alguém, um teste de Dirigir seria apropriado. Outras culturas podem substituir essa perícia por outra semelhante; os Inuit poderiam usar Dirigir Trenós de Cachorro ou um vitoriano poderia ter Dirigir Carruagens.
Exemplos de testes Forçados: forçar os limites do motor; não desacelerar, apesar dos riscos.
Exemplos de fracasso em testes Forçados: bater; derrapar e terminar em uma parada brusca, ficando incapaz de prosseguir; ser perseguido pela polícia. Se um investigador insano falhar em um teste forçado, ele ou ela será encontrado ao volante de um veículo parado, fazendo ruídos de motor com a boca.</t>
  </si>
  <si>
    <t>Direito</t>
  </si>
  <si>
    <t>Direito (05%)
Representa a probabilidade de se conhecer leis, precedentes, manobras legais e procedimentos judiciais pertinentes. A prática do direito enquanto profissão pode levar a grandes recompensas e cargos políticos, mas requer dedicação intensa por muitos anos — um Nível de Crédito elevado geralmente também é crucial nesse sentido. Nos Estados Unidos, a Ordem dos Advogados de um estado ou condado em particular deve sancionar o exercício da profissão. Quando se está em um país estrangeiro, sugere-se que o nível de dificuldade seja aumentado ao usar essa perícia, a menos que o personagem tenha passado muitos meses estudando o sistema legal do lugar em questão.
Exemplos de testes Forçados: fazer uma pausa para ponderar sobre seu argumento; explicar com detalhes as nuances do caso/situação; gastar um tempo significativo realizando pesquisas; distorcer a lei para conduzir o seu argumento.
Exemplos de fracasso em testes Forçados: interpretar mal uma lei ou sair dos procedimentos legais aceitos levam-no acometer um crime e atrair a atenção da polícia; desperdiçar tempo e dinheiro em pesquisas e honorários legais; ser detido por desacato e jogado na cadeia por pelo menos 24 horas.
Se um investigador insano falhar em um teste forçado, ele ou ela acreditará que está acima da lei.</t>
  </si>
  <si>
    <t>Disfarce</t>
  </si>
  <si>
    <t>Nome:</t>
  </si>
  <si>
    <t>Disfarce (05%)
Uma perícia usada sempre que o investigador pretende parecer alguém que ele não é. O usuário muda de postura, roupas e/ou voz para representar o disfarce, passando-se por outra pessoa ou outro tipo de pessoa. Maquiagem teatral pode ajudar, bem como um documento falso. Observe que se passar por uma pessoa específica cara-a cara com alguém que a conhece está além do escopo dessa perícia, e pode indicar a necessidade de um teste combinado de perícias com uma dificuldade maior (com Persuasão, Charme ou Lábia).
Exemplos de testes Forçados: passar por uma preparação totalmente imersiva e intensiva (perdendo-se no “papel”); roubar itens pessoais e utilizá-los no disfarce; exagerar ostensivamente na representação, para confundir o alvo; fingir um súbito ataque de alguma doença para desorientar o observador.
Exemplos de fracasso em testes Forçados: ser preso; ofender alguém, levando à violência ou acusações criminais; descobrir que a pessoa que está sendo imitada é procurada por uma gangue criminosa que deseja vingança.
Se um investigador insano falhar em um teste forçado, o investigador não mais reconhece o seu próprio rosto no espelho, mesmo quando o disfarce for removido.</t>
  </si>
  <si>
    <t>Escalar</t>
  </si>
  <si>
    <t>Pontos de Vida</t>
  </si>
  <si>
    <t>Escalar (20%)
Esta perícia possibilita que um personagem escale árvores, paredes e outras superfícies verticais com ou sem cordas e equipamento de escalada. A perícia também abrange o rapel. Condições como a firmeza da superfície, pontos de apoio disponíveis, vento, visibilidade, chuva, etc., podem afetar o nível de dificuldade dos testes. Fracassar no primeiro teste com essa perícia indica que a escalada pode estar além da capacidade do investigador. Falhar em um teste forçado provavelmente indica uma queda que causa dano. Um teste bem sucedido de Escalar, na maioria dos casos, deve permitir que o investigador complete a escalada com sucesso (em vez de exigir repetidos testes). Uma escalada desafiadora ou mais longa deve ter um nível de dificuldade maior.
Exemplos de testes Forçados: reavaliar a escalada; tomar uma rota mais longa; esticar-se ao máximo.
Exemplos de fracasso em testes Forçados: cair e sofrer dano (1D6 de dano para cada três metros de queda na grama ou 1D10 de dano para cada três metros caindo no concreto); perder um item valioso que cai de seu bolso (podendo não notar até mais tarde); ficar preso, incapaz de subir ou descer.
Se um investigador insano falhar em um teste forçado, ele ou ela pode se segurar com todas as forças em algo enquanto grita desesperadamente tanto quanto pode.</t>
  </si>
  <si>
    <t>Escutar</t>
  </si>
  <si>
    <t>FOTO</t>
  </si>
  <si>
    <t>Escutar (20%)
Esta perícia mede a capacidade de um investigador interpretar e entender sons, incluindo conversas entreouvidas, murmúrios por trás de uma porta fechada e palavras sussurradas em um restaurante. O Guardião pode usar Escutar para determinar o que acontecerá antes de um conflito iminente: seu investigador foi acordado pelo barulho do galho estalando? Por extensão, uma perícia Escutar alta pode indicar um personagem bastante atento, no geral.
Exemplos de testes Forçados: ficar completamente parado para escutar; aproximar-se da suposta fonte do ruído (por exemplo, colar a orelha nos trilhos do trem ou na porta); falar para todos ficarem quietos (dessa forma, fazendo barulho) e depois parar para escutar. 
Exemplos de fracasso em testes Forçados: a “coisa” o pegou desprevenido (você é surpreendido); você ouve mal a conversa e entende algumas coisas errado; você é pego tentando escutar algo que não devia e acaba em uma situação muito embaraçosa.
Se um investigador insano falhar em um teste forçado, ele ou ela fica excessivamente sensível a todos os sons e é incapaz de ficar sem usar tampões de ouvido ou algo similar.</t>
  </si>
  <si>
    <t>Encontrar</t>
  </si>
  <si>
    <t>Encontrar (25%)
Esta perícia permite ao usuário detectar uma porta ou compartimento secreto, notar um intruso escondido, encontrar uma pista discreta, reconhecer um automóvel repintado, perceber emboscadas, notar um bolso estufado, ou qualquer coisa similar. Essa é uma perícia importante no arsenal de um investigador.
Quando o personagem está procurando por alguém escondido, a perícia Furtividade do adversário é usada para estabelecer o nível de dificuldade do teste. Se um personagem tiver apenas uma pequena chance de detectar alguma coisa, talvez ao passar correndo por ela, o Guardião pode aumentar o nível de dificuldade. Se o personagem estiver conduzindo uma busca minuciosa, o Guardião pode conceder um sucesso automático. O nível de dificuldade também pode ser adaptado para refletir o ambiente, sendo mais difícil detectar algo em uma sala atulhada.
Exemplos de testes Forçados: passar mais tempo observando a área; vasculhar o lugar completamente; desmontar móveis e destruir estatuetas de porcelana.
Exemplos de fracasso em testes Forçados: deixar cair algum pertence seu durante a busca, o que deixará claro que esteve lá (o investigador não perceberá isso no momento); você não detecta a pegada na lama e se surpreende quando a besta de olhos vermelhos salta sobre você; embora tenha encontrado uma pista, você não notou os cultistas chegando na casa.
Se um investigador insano falhar em um teste forçado, ele ou ela fica convencido de que há alguma coisa lá e que vai encontrá-la sob o papel de parede, escondido no gesso ou debaixo das tábuas do assoalho.</t>
  </si>
  <si>
    <t xml:space="preserve">Esquivar </t>
  </si>
  <si>
    <t>Furtividade</t>
  </si>
  <si>
    <t>Furtividade (20%)
A arte de mover-se silenciosamente e/ou de se esconder sem alertar aqueles que poderiam ouvi-lo ou vê-lo. Quando tentar evitar ser detectado, o jogador deve fazer um teste de Furtividade. A habilidade com essa perícia sugere que o personagem é adepto de se mover silenciosamente (“furtivo”) e/ou habilidoso em técnicas de camuflagem. A perícia também pode sugerir que o personagem consegue manter um nível de paciência e calma suficientes para permanecer imóvel e não ser visto por longos períodos.
Exemplos de testes Forçados: gastar mais tempo para estudar a área; remover seus sapatos; causar uma distração; esperar até o caminho parecer livre.
Exemplos de fracasso em testes Forçados: sem que saiba, você foi descoberto e, ao invés de abordá-lo diretamente, os cultistas decidiram convocar “algo” para pegar você; você ouve a porta do armário onde está escondido ser trancada e então vedada com pregos. 
Se um investigador insano falhar em um teste forçado, ele ou ela pode acreditar que está invisível, quando na verdade todo mundo pode vê-los.</t>
  </si>
  <si>
    <t>Hipnose</t>
  </si>
  <si>
    <t>Hipnose (01%) [Incomum]
O usuário é capaz de induzir um alvo disposto a um estado de transe, fazendo com que este experimente alta sugestionabilidade, relaxamento e que possivelmente relembre memórias esquecidas. Os limites do hipnotismo devem ser decididos pelo Guardião para se adequarem ao seu jogo; pode ser que apenas pessoas dispostas possam ser hipnotizadas, ou o Guardião pode permitir que essa perícia seja usada em alvos relutantes de uma forma mais agressiva. Usar hipnose geralmente é um teste resistido (resistido pelo POD ou a perícia Psicologia do alvo). Essa perícia pode ser utilizada como hipnoterapia naqueles que estão sofrendo de trauma mental, reduzindo os efeitos de uma fobia ou mania em um paciente (o uso bem-sucedido significa que o paciente supera a fobia ou mania em uma determinada ocasião). Observe que uma série de sessões bem-sucedidas de hipnoterapia pode ser necessária para curar completamente alguém que sofre de uma fobia (mínimo 1D6 sessões, a critério do Guardião).
Exemplos de testes Forçados: aumentar a sua influência sobre o alvo, garantindo que tenha atenção plena e total dele; atacar os sentidos do alvo com luzes ou acessórios que o confundam; usar drogas para tornar o alvo mais suscetível à sugestão.
Exemplos de fracasso em testes Forçados: alguma memória passada ou trauma é trazido à tona, causando a perda de 1D6 pontos de Sanidade no alvo; o alvo cai em transe, o que o leva a atravessar a rua na frente de um ônibus mais tarde; a mente do alvo (ou a mente do investigador) é temporariamente esvaziada, permitindo que seja possuída por uma entidade malévola.
Se um investigador insano falhar em um teste forçado, sua mente regride para um estado infantil até que seja tratado</t>
  </si>
  <si>
    <t>História</t>
  </si>
  <si>
    <t>História (05%)
Habilita um investigador a recordar-se da importância de um país, cidade, região ou pessoa. Um teste bem sucedido pode ser usado para ajudar a identificar ferramentas, técnicas ou ideias familiares a antepassados, mas pouco conhecidas hoje.
Exemplos de testes Forçados: gastar mais tempo examinando; realizar mais pesquisas; consultar outro especialista; contratar assistentes para realizar pesquisas detalhadas, perdendo meses e tendo gastos enormes.
Exemplos de fracasso em testes Forçados: as pesquisas alertam os seus adversários, que ficam cientes de suas intenções; suas conclusões são errôneas e o conduzem ao perigo; muito tempo e dinheiro são desperdiçados em pesquisas infrutíferas.
Se um investigador insano falhar em um teste forçado, ele ou ela fica convencido de que está de alguma forma deslocado no tempo, ou talvez comece a acreditar que está vivendo em outro período histórico, vestindo-se e falando de maneira arcaica</t>
  </si>
  <si>
    <t>Intimidação</t>
  </si>
  <si>
    <t>Intimidação (15%)
A Intimidação pode assumir muitas formas, incluindo força física, manipulação psicológica e ameaças. Ela é usada para assustar ou obrigar uma pessoa a agir de determinada maneira. Intimidação é resistida por Intimidação ou Psicologia. Reforçar a Intimidação com o uso de uma arma ou alguma outra ameaça ou incentivo poderoso pode reduzir o nível de dificuldade. Ao Forçar um teste de intimidação, uma possível consequência de um fracasso é levar a cabo a própria ameaça, talvez indo além do que se pretendia. Intimidação pode ser usada para forçar a diminuição do preço de um item ou serviço. Se for bem-sucedida, o vendedor pode reduzir o preço ou entregar o item gratuitamente, mas, dependendo da situação, ele poderá informar o incidente à polícia ou aos membros do crime organizado local.
Exemplos de testes Forçados: chegar a causar danos físicos no alvo ou em algo ou alguém com quem ele se preocupa. Lembre-se que se trata de Intimidação; se o investigador começar a agir de outra forma, o Guardião pode pedir que uma perícia diferente seja usada. Se as ameaças forem retiradas e o investigador então tentar fazer amizade com o alvo, pode tornar-se Charme; ou se houver uma discussão prolongada e não ameaçadora, pode tornar-se Persuasão. Alternar de uma para outra para ganhar um segundo teste ainda constitui um teste Forçado.
Exemplos de fracasso em testes Forçados: puxar acidentalmente o gatilho da arma que você está apontando para o rosto do alvo; a mente do alvo não aguenta a pressão, resultando em violência ou num gaguejar sem sentido, depois do que não se pode conseguir mais nada; o alvo simplesmente ri na sua cara e não cede, não importa o que você faça; o alvo de alguma forma vira o jogo e intimida o intimidador. É importante notar que forçar um teste de Intimidação significa levar as coisas ao limite. Isto poderia envolver dias de interrogatório, ou um ultimato com uma arma na cabeça. De qualquer forma, um teste Forçado de Intimidação ou arranca as informações necessárias ou traz algum tipo de fim para a situação.
Se um investigador insano falhar em um teste forçado, ele ou ela fica intensamente amedrontado com o alvo e faz as vontades dele.</t>
  </si>
  <si>
    <t>Lábia</t>
  </si>
  <si>
    <t>Lábia (05%)
Lábia é especificamente limitada a truques verbais, mentiras e engodos, como enrolar um segurança para que ele deixe você entrar em uma boate, fazer com que alguém assine um formulário que não leu, convencer um policial a fazer vista grossa, e assim por diante. Essa perícia é resistida por Psicologia ou Lábia. Após um breve período (geralmente após o enrolador ter deixado a cena), o alvo perceberá que foi enganado. O efeito é sempre temporário, embora vá durar mais se um nível de sucesso maior for alcançado. Lábia pode ser usada para barganhar a diminuição do preço de um item ou serviço. Se o teste for bem-sucedido, o vendedor pensa momentaneamente que fez um bom negócio; no entanto, se o comprador retornar e tentar comprar outro item, o vendedor pode decidir recusar qualquer barganha adicional e até mesmo aumentar o preço para recuperar o que perdeu na venda anterior!
Exemplos de testes Forçados: aproximar-se emocionalmente do alvo; falar de maneira esquisita para confundir a vítima. Lembre-se que o ponto é usar Lábia, então, se o investigador começar a agir de outro modo, o Guardião pode pedir que uma perícia diferente seja usada; se ameaças forem feitas, pode tornar-se Intimidação; ou, se houver uma discussão prolongada, pode tornar-se Persuasão. Alternar de uma para outra para ganhar um segundo teste ainda constitui um teste Forçado.
Exemplos de fracasso em testes Forçados: ofender profundamente alguém, levando à violência, indignação ou processos criminais.
Se um investigador insano falhar em um teste forçado, ele ou ela começa a disparar frases abusivas aleatórias contra as pessoas</t>
  </si>
  <si>
    <t>Jogador:</t>
  </si>
  <si>
    <t>Leitura Labial</t>
  </si>
  <si>
    <t>Leitura Labial (01%) [Incomum]
Esta perícia permite que um investigador indiscreto “escute” uma conversa, sem exigir que esteja ouvindo os falantes. É necessário estar dentro do raio de visão, e se apenas os lábios de um dos oradores puderem ser vistos (como outro orador possivelmente de costas para quem usa a perícia), então apenas metade da conversa pode ser decifrada. Leitura Labial também pode ser usada para se comunicar silenciosamente com outra pessoa (se ambos forem proficientes), permitindo frases e significados relativamente complexos.
Exemplos de testes Forçados: posicionar-se de forma óbvia e encarar o(s) alvo(s) intensamente; filmar o alvo (e, portanto, provavelmente ser observado filmando o alvo).
Exemplos de fracasso em testes Forçados: o alvo percebe que está sendo observado atentamente, se ofende e confronta você; o bêbado do outro lado do bar se irrita, pensando que você está olhando para ele, e lhe dá um soco; você está tão atento ao alvo que não percebe o que está acontecendo nas proximidades (alguém rouba sua mala ou você se bate em um poste).
Se um investigador insano falhar em um teste forçado, há muito espaço para imaginar toda sorte de coisas estranhas e bizarras que ele poderia entender erroneamente em uma conversa.</t>
  </si>
  <si>
    <t>Língua (Nativa)</t>
  </si>
  <si>
    <t>Máx</t>
  </si>
  <si>
    <t>Língua (Nativa) (EDU%)
Ao escolher essa perícia, a língua específica deve ser identificada e anotada na perícia. Durante a primeira e segunda infância, a maioria dos humanos usa uma única língua. A língua escolhida para Língua Nativa começa automaticamente com um valor igual à sua EDU; portanto, o investigador entende, fala, lê e escreve com uma porcentagem igual ou maior que esta (caso sejam adicionados mais pontos de perícia durante a criação do investigador).
Exemplos de testes Forçados: veja a perícia Língua (Outra)</t>
  </si>
  <si>
    <t>Língua Outra</t>
  </si>
  <si>
    <t>Língua, Outra (Especializações) (01%)
Ao escolher essa perícia, a língua específica deve ser identificada e anotada na perícia. Uma pessoa pode conhecer várias línguas. Essa perícia representa a chance do usuário de entender, falar, ler e escrever em uma língua diferente da dele. Línguas antigas ou desconhecidas (tais como Aklo, Hiperboreano, etc.) não deveriam ser escolhidas (a não ser que o Guardião esteja de acordo), mas línguas terrestres comuns podem. O Guardião pode aumentar o nível de dificuldade no caso de se deparar com falas ou escritas arcaicas. Normalmente, um único teste de Outra Língua dá conta de um livro inteiro. 
Sugestões sobre a perícia Outra Língua: 
E Com 5% na perícia, uma língua pode ser identificada corretamente sem a necessidade de um teste.
E Com 10%, ideias simples podem ser comunicadas.
E Com 30%, é possível fazer compras e utilizar outros serviços.
E Com 50% na perícia, a pessoa é fluente.
E Com 75%, um personagem pode se passar por um falante nativo.
E Para identificar uma língua humana atual (desconhecida para o investigador), use um teste de Saber.
E Para identificar uma língua humana extinta, use um teste de Arqueologia ou História.
E Para identificar uma língua alienígena, use Mythos de Cthulhu ou talvez um teste de Ocultismo.
Exemplos de testes Forçados: demorar mais pensando nas palavras que deseja dizer; fazer longas pausas para responder o que lhe foi dito; consultar outros livros para fazer uma tradução.
Exemplos de fracasso em testes Forçados: discussões exageradas ou em tom elevado entre investigadores e terceiros alertam alguma facção inimiga sobre as intenções dos investigadores; uma palavra ou frase é mal interpretada (talvez o significado acabe invertido); o ouvinte se ofende com um insulto involuntário, e responde com os punhos, ou vira todos do bairro contra você. 
Se um investigador insano falhar em um teste forçado, ele ou ela começa a falar em línguas desconhecidas, ou imagina que está usando a língua enoquiana.</t>
  </si>
  <si>
    <t>Lutar</t>
  </si>
  <si>
    <t>Atual</t>
  </si>
  <si>
    <t>Lutar (Especializações) (% variável)
A perícia Lutar representa a capacidade de um personagem no combate corporal. Você pode gastar pontos de perícia para comprar qualquer especialização. A perícia genérica “Lutar” não pode ser comprada. Escolha especializações apropriadas para a ocupação e os antecedentes do seu investigador. Personagens que começam com Lutar (Briga) em 50% ou mais podem querer escolher algum tipo de treinamento formal como parte de seus antecedentes para explicar tal nível de conhecimento. Existem vários estilos de luta, cada um com seus próprios prós e contras. As artes marciais são apenas uma maneira de desenvolver a perícia Lutar. Decida como o personagem aprendeu a lutar, seja através de treinamento militar formal, aulas de artes marciais, ou talvez em brigas de rua. O termo briga pode parecer demasiado grosseiro para um artista marcial qualificado e pode ser substituído (por 'Karatê', por exemplo) se um jogador assim desejar.
Nota: sendo uma perícia de combate, não pode ser forçada.
Exemplos de Especializações em Lutar:
Briga (25%): inclui toda luta desarmada e armas básicas que qualquer um poderia pegar e usar, como porretes (incluindo bastões de críquete ou bastões de beisebol), facas e muitas armas improvisadas, tais como garrafas e pernas de mesa. Para determinar o dano causado por uma arma improvisada, o Guardião deve consultar a tabela de armas e escolher algo similar.
Chicotes (05%): boleadeiras e chicotes.
Espadas (20%): todas as lâminas com mais de sessenta centímetros.
Garrote (15%): qualquer material comprido usado para estrangular. Exige que a vítima faça uma Manobra de Luta para escapar, ou sofrerá 1D6 de dano por rodada.
Lanças (20%): lanças e azagaias. Se forem arremessadas, use a perícia Arremessar.
Machados (15%): use esta perícia para machados grandes. Uma machadinha pode ser usada com a especialização normal de briga. Se uma machadinha for arremessada, use a perícia Arremessar.
Manguais (10%): nunchaku, estrelas da manhã e armas medievais similares.
Motosserras (10%): a primeira motosserra alimentada por gasolina produzida em massa surgiu em 1927, porém existiam versões anteriores.
Armas e suas perícias são listadas na Tabela de Armas (ver páginas 250—255). As especializações acima podem não abranger todas as armas, mas, sempre que possível, tente colocar outras armas em uma das categorias acima. Motosserras estão incluídas como armas devido ao seu uso em inúmeros filmes, mas os jogadores devem observar que a chance de um desastre é dobrada e que eles arriscam matar seu investigador (ou a perder um membro) caso isso aconteça.</t>
  </si>
  <si>
    <t>Medicina</t>
  </si>
  <si>
    <t>Ocupação:</t>
  </si>
  <si>
    <t>Pontos de Magia</t>
  </si>
  <si>
    <t>Medicina (01%)
O usuário pode diagnosticar e tratar ferimentos, doenças, envenenamentos etc., e fazer recomendações sobre saúde pública. Se determinada era não tiver um bom tratamento para uma doença, o esforço é limitado, incerto ou inconclusivo. A perícia Medicina concede o conhecimento de uma grande variedade de medicamentos e poções, naturais e artificiais, bem como o entendimento dos efeitos colaterais e contraindicações. Tratamentos que usam Medicina levam no mínimo uma hora e podem ser ministrados a qualquer momento após o recebimento do dano, mas se não for realizado no mesmo dia, o nível de dificuldade é aumentado (exigindo um sucesso Sólido). Uma pessoa tratada com sucesso com Medicina recupera 1D3 pontos de vida (além de quaisquer Primeiros Socorros que tenha recebido), exceto no caso de um personagem que esteja Morrendo, que inicialmente deve receber Primeiros Socorros para ser estabilizado e só então os cuidados da perícia Medicina. Um personagem só pode receber um tratamento bem-sucedido de Primeiros Socorros e um de Medicina, até que sofra novos ferimentos. (exceto no caso de um personagem que esteja morrendo, que pode precisar de vários Primeiros Socorros para ser estabilizado.) O uso bem-sucedido de Medicina pode devolver a consciência a alguém que esteja inconsciente. No tratamento de Lesões Graves, o uso bem-sucedido da perícia Medicina concede ao paciente um dado de Bônus no teste semanal de recuperação. O Guardião pode conceder sucesso automático para tratamento médico em um hospital contemporâneo e bem equipado.
Exemplos de testes Forçados: consultar colegas; realizar mais pesquisas; tentar algo experimental ou mais arriscado; realizar alguma forma de experimento clínico.
Exemplos de fracasso em testes Forçados: você diagnostica erroneamente a doença e piora a condição do paciente (talvez até matando-o); sua boa reputação é questionada e você é investigado por negligência. No caso de um personagem que esteja Morrendo, se um teste Forçado de Medicina falhar, o paciente morre.
Se um investigador insano falhar em um teste Forçado, os resultados serão perturbadores ao extremo, talvez envolvendo amputação ou sepse como resultado de tentativas fracassadas de enxertar partes de animais no paciente.</t>
  </si>
  <si>
    <t>Mergulho</t>
  </si>
  <si>
    <t>Idade:</t>
  </si>
  <si>
    <t>Mergulho (01%) [Incomum]
O usuário é treinado no uso e manutenção de equipamentos de mergulho para nadar embaixo d’água, incluindo navegação subaquática, uso de pesos adequados e também as técnicas e procedimentos de emergência. Antes da invenção do Aqua-Lung em 1942, rígidos trajes de mergulho eram conectados à superfície por um tubo, pelo qual o oxigênio era bombeado. Na era moderna, um mergulhador estará familiarizado com a física do mergulho, pressão do ar e os processos fisiológicos que ocorrem quando se respira ar pressurizado.
Exemplos de testes Forçados: forçar os limites do equipamento; fazer uma metódica dupla verificação do equipamento; receber assistência profissional.
Exemplos de fracasso em testes Forçados: ficar preso debaixo d'água; ser atacado por criaturas marinhas; sofrer da doença de descompressão.
Se um investigador insano falhar em um teste forçado, ele ou ela começa a entender o canto das baleias; tudo o que você precisa fazer é seguir as instruções delas.</t>
  </si>
  <si>
    <t>Mythos de Cthulhu</t>
  </si>
  <si>
    <t>Sexo:</t>
  </si>
  <si>
    <t>Mythos de Cthulhu (00%)
Esta perícia reflete o entendimento do desumano (lovecraftiano) Mythos de Cthulhu. Não é baseada no acumulo de conhecimento, como são as perícias acadêmicas. Ao invés disso, representa a aceitação e ligação da mente humana ao Mythos de Cthulhu. Portanto, pontos adquiridos do encontro com Abissais (por exemplo), podem ser utilizados para outras situações e entidades. Também conhecido como “aquilo que o homem não deveria saber”, o Mythos de Cthulhu é antiético ao entendimento humano, e exposição a ele degenera a sanidade humana. Durante a criação de personagem, nenhum investigador pode colocar pontos em Mythos de Cthulhu (a menos que o Guardião esteja de acordo). Não há caixa alguma para marcar Mythos de Cthulhu, pois seu uso bem-sucedido não oferece um aumento no percentual do investigador nessa perícia. Em vez disso, pontos de Mythos de Cthulhu são ganhos a partir de encontros com o Mythos que resultam em insanidade, por descobertas acerca da verdadeira natureza do universo durante um episódio de insanidade e através da leitura de livros proibidos e de outros escritos do Mythos. A Sanidade de um personagem nunca pode ser superior a 99 menos o valor de sua perícia Mythos de Cthulhu. À medida em que os pontos de Mythos de Cthulhu aumentam, eles esvaziam os pontos de Sanidade, e deixam o investigador mais vulnerável. Sempre que se encontra um rastro ou outra evidência de monstros do Mythos, um teste bem-sucedido dessa perícia permite que o investigador identifique a entidade, deduza algo sobre seu comportamento ou adivinhe alguma propriedade que ela possui. Um teste bem-sucedido de Mythos de Cthulhu também pode permitir que um investigador se lembre de algum fato sobre o Mythos identifique um feitiço ao vê-lo sendo lançado, lembre-se de que um feitiço ou informação específica pode ser encontrado em um determinado tomo do Mythos, ou consiga realizar alguma outra tarefa. A perícia Mythos de Cthulhu também pode ser usada para manifestar efeitos mágicos “quase-feitiço”.
Exemplos de testes Forçados: aproximar-se da criatura para ter uma visão melhor; consultar tomos terríveis ou a sabedoria de humanos (ou não) que possuam conhecimento especializado; realizar uma autópsia para aprender mais; ler em voz alta enquanto você retraça os estranhos criptogramas.
Exemplos de fracasso em testes Forçados: chegar perto demais, expondo-se a ferimentos ou suspeitas; ler sem querer uma passagem de um tomo que ativa um feitiço de convocação; acidentalmente corromper ou destruir a evidência em estudo.
Se um investigador insano falhar em um teste forçado, ele ou ela experimenta uma visão ou revelação que apresenta novas verdades sobre o Mythos de Cthulhu.</t>
  </si>
  <si>
    <t>Mundo Natural</t>
  </si>
  <si>
    <t>Residência:</t>
  </si>
  <si>
    <t>Mundo Natural (10%)
Originalmente, o estudo da vida vegetal e animal em seus ambientes. No século XIX, tal estudo já havia se separado há muito em uma série de disciplinas acadêmicas (por exemplo, Biologia, Botânica, etc.). Enquanto perícia, Mundo Natural representa o conhecimento tradicional (não científico) e observação pessoal de fazendeiros, pescadores, amadores inspirados e entusiastas. Serve para identificar espécies, hábitos e habitats de forma geral, e identificar rastros, pistas e chamados de animais, bem como permitir suposições quanto ao que pode ser importante para uma determinada espécie. Para uma compreensão científica do mundo natural, deve-se usar as perícias Biologia, Botânica e Zoologia. A perícia Mundo Natural pode oferecer informações precisas ou não — ela lida com o campo da apreciação, suposição, tradição popular e conhecimento amador. Use Mundo Natural para avaliar cavalos na feira do condado, ou decidir se uma coleção de borboletas é excelente ou só muito bem apresentada.
Exemplos de testes Forçados: passar muito mais tempo (esquecendo-se das horas) examinando o habitat; provar do cogumelo ou planta desconhecida para ter uma ideia melhor do que se trata; consultar a velha da aldeia que sabe tudo sobre a vida selvagem local.
Exemplos de fracasso em testes Forçados: você passa longas horas sorvendo obsessivamente dos livros para identificar a espécie; você entende as coisas errado, e ao invés das vespas serem repelidas pela sua mistura de lama e ervas do pântano, elas são atraídas até você (com resultados dolorosos); você escolhe o cogumelo errado e se descobre, horas depois, caminhando nu em direção a um policial.
Se um investigador insano falhar em um teste, ele ou ela fica vivendo de forma selvagem em uma região inóspita até que amigos venham a seu auxílio.</t>
  </si>
  <si>
    <t>Sanidade</t>
  </si>
  <si>
    <t>Natação</t>
  </si>
  <si>
    <t>Natação (20%)
A capacidade de flutuar e se mover através da água ou de outro líquido. Um teste de Natação é necessário apenas em momentos de perigo ou problemas, ou quando o Guardião julgar apropriado. Falhar em um teste Forçado de Natação pode resultar na perda de pontos de vida. Também pode significar a pessoa ser arrastada pela correnteza, e ser parcial ou completamente afogada.
Exemplos de testes Forçados: respirar fundo e realmente “ir com tudo”, com todas as forças que lhe restam; forçar os seus limites físicos.
Exemplos de fracasso em testes Forçados: a correnteza o arrasta para baixo e você perde a consciência, despertando em uma praia desconhecida; você é puxado para baixo e é ferido ao ser lançado contra rochas; você se esforça para alcançar o bote salva-vidas e, assim que consegue, sente algo frio e pegajoso agarrar seu tornozelo.
Se um investigador insano falhar em um teste forçado, ele ou ela continua a nadar e provavelmente considera a terra seca perigosa por alguma razão.</t>
  </si>
  <si>
    <t>Navegação</t>
  </si>
  <si>
    <t>Local Nasc:</t>
  </si>
  <si>
    <t>Navegação (10%)
Possibilita que o usuário encontre seu caminho em tempestades ou com céu limpo, de dia ou de noite. Aqueles que possuem muitos pontos nessa perícia têm familiaridade com tabelas astronômicas, mapas, instrumentos e equipamentos de localização por satélite, conforme existam na época do jogo. Pode-se também usar essa perícia para medir e mapear uma área (cartografia), seja uma ilha de muitos quilômetros quadrados ou o interior de um único cômodo — o uso de tecnologia moderna pode diminuir o nível de dificuldade ou retirar a necessidade de um teste. Os testes dessa perícia podem ser feitos como jogadas ocultas pelo Guardião — cabendo aos investigadores tentar descobrir e posteriormente presenciar os resultados. Se o personagem tiver familiaridade com a área, um dado de bônus deve ser concedido ao teste. 
Exemplos de testes Forçados: pegar o mapa e gastar tempo enquanto você tenta descobrir onde está; voltar para o início e tentar novamente.
Exemplos de fracasso em testes Forçados: você se perde e se descobre sendo observado ou atacado por um urso; você anda em círculos, e seus companheiros param de segui-lo (você está sozinho agora...); você confunde as estrelas, e ao invés de se afastar dos grupos de busca dos cultistas, acaba voltando para a base secreta deles.
Se um investigador insano falhar em um teste forçado, ele ou ela joga fora o mapa (como acontece em A Bruxa de Blair) e segue sua intuição. Sua intuição não funciona.</t>
  </si>
  <si>
    <t>Nível de Crédito (00%)
Uma medida do quão próspero e financeiramente confiante o investigador parece ser. O dinheiro abre portas; se o investigador estiver tentando usar seu status financeiro para alcançar um objetivo, o uso da perícia Nível de Crédito pode ser apropriado. Nível Crédito pode ser usado no lugar da APA para se medir as primeiras impressões. (ou seja, os mais ricos tendem a se vestir com roupas mais caras). Nível de Crédito é mais um medidor de riqueza do que uma perícia e não deve ser marcado após um teste bem-sucedido. Um Nível de Crédito elevado pode ser um recurso útil em jogo e, assim, deve ser pago com pontos de perícia durante a criação do investigador. Cada ocupação possui um intervalo inicial de Nível de Crédito, e pontos de perícia devem ser gastos para ficar dentro dele.
Chamado de Cthulhu não é um jogo em que o dinheiro precisa ser cuidadosamente controlado; no entanto, é útil conhecer os limites do alcance financeiro de um investigador — por exemplo, o investigador pode empregar uma equipe de arqueólogos e trabalhadores para escavar uma tumba egípcia? O Nível de Crédito de um investigador pode mudar ao longo do tempo. Aqueles que investigam o Mythos de Cthulhu são propensos à insanidade, o que pode levar à perda do emprego e, portanto, a uma redução no Nível de Crédito.
Exemplos de testes Forçados: você oferece sua casa e/ou outros objetos de valor como garantia para um agiota; você tenta pressionar o gerente do banco para que lhe autorize um empréstimo.
Exemplos de fracasso em testes Forçados: o agiota torna--se desagradável e ordena que seus capangas lhe deem uma lição; o gerente do banco chama a polícia; emprestam-lhe o dinheiro, mas é um plano para aumentar suas dívidas com um mafioso que planeja comprar sua dívida e depois convocá-lo para um “favor”.
Se um investigador insano falhar em um teste forçado, ele ou ela perde toda fé no capitalismo e começa a distribuir livremente seu dinheiro para os transeuntes.</t>
  </si>
  <si>
    <t>Inicial</t>
  </si>
  <si>
    <t>Ocultismo</t>
  </si>
  <si>
    <t xml:space="preserve">Ocultismo (05%)
O usuário reconhece objetos, palavras e conceitos do ocultismo, bem como as tradições populares, e pode identificar grimórios de magia e códices de ocultismo. O ocultista tem familiaridade com as linhas de conhecimento secreto que foram transmitidas desde o Egito e da Suméria, do ocidente medieval e renascentista, e talvez da Ásia e da África também. Compreender certos livros pode prover pontos em Ocultismo. Esta perícia não se aplica a feitiços, livros ou magias do Mythos de Cthulhu, embora os adoradores dos Grandes Antigos muitas vezes adotem ideias cultistas. O Guardião decide se existe ou não magia verdadeira fora do Mythos em seu jogo.
Exemplos de testes Forçados: gastar mais tempo estudando o local ou objeto; realizar mais pesquisas; consultar outro especialista; purificar-se e passar por preparações pessoais extremas antes de realizar o ritual.
Exemplos de fracasso em testes Forçados: a informação não é relembrada direito e o ritual é executado incorretamente, com consequências desastrosas (talvez a casa seja completamente queimada); no preparo do círculo de proteção, você usa os ingredientes errados, e ao invés de afastar os espíritos você convoca algo verdadeiramente malévolo; sua pesquisa esbarrou em uma ligação até então desconhecida com o Mythos, e sua descoberta é demais para você aguentar (perda de SAN). 
Se um investigador insano falhar em um teste forçado, o fracasso provavelmente se manifestará na forma de alguma obsessão; talvez o investigador tatue símbolos ocultistas em suas bochechas e palmas da mão, ou não consiga agir sem primeiro consultar seus cristais para perscrutar seu futuro. </t>
  </si>
  <si>
    <t>Operar Maquinário Pesado</t>
  </si>
  <si>
    <t>Operar Maquinário Pesado (01%)
Necessária para dirigir e operar um tanque, retroescavadeira, escavadeira a vapor ou outra máquina de construção de larga escala. Para operar tipos diferentes de máquinas, o Guardião pode decidir aumentar o nível de dificuldade se os problemas encontrados forem em sua maioria desconhecidos; alguém acostumado a operar um trator de correia, por exemplo, não será imediatamente competente com as turbinas a vapor na sala de máquinas de um navio.
Exemplos de testes Forçados: seguir o manual passo-a-passo; tirar tempo para praticar; procurar um professor.
Exemplos de fracasso em testes Forçados: você está dirigindo o trator, mas fica confiante demais, perde o controle e joga ele contra uma parede (a parede cai em cima de você, ou até pior).
Se um investigador insano falhar em um teste forçado, ele ou ela pode acreditar que está encarregado de desenterrar ou construir um templo para os Antigos.</t>
  </si>
  <si>
    <t>Persuasão</t>
  </si>
  <si>
    <t>Persuasão (10%)
Use Persuasão para convencer um alvo sobre uma ideia, conceito ou crença através de argumento, debate e discussão fundamentados. A Persuasão pode ser empregada mesmo sem se estar falando a verdade. Uma aplicação bem-sucedida de Persuasão leva tempo: pelo menos meia hora. Se quiser persuadir alguém rapidamente, você deve usar Lábia. Dependendo do objetivo do jogador, se o investigador tiver tempo suficiente, o efeito pode permanecer por tempo indefinido e de modo insidioso; por anos talvez, até que algum evento ou outra Persuasão influencie o alvo. A Persuasão pode ser usada para barganhar, para diminuir o preço de um item ou serviço. Se for bem-sucedida, o vendedor fica completamente convencido de que fez um bom negócio. 
Exemplos de testes Forçados: aproximar-se emocionalmente para conseguir passar seu argumento ou apelar para a razão do alvo; demonstrar através de raciocínio lógico e exemplos, em detalhes; usar técnicas de sugestão cuidadosamente pré-planejadas (possivelmente, mensagens subliminares, também) para tornar o alvo tão receptivo quanto possível; fazer um grande espetáculo (encenação, fogos de artifício, brindes, bebida de graça, subornos etc.) para realmente forçar que seu ponto de vista receba atenção das outras pessoas.
Lembre-se que se trata de Persuasão; se o investigador começar a agir de outra forma, o Guardião pode pedir que uma perícia diferente seja usada. Se ameaças forem feitas, pode tornar-se Intimidação; ou se o investigador está buscando fazer amizade com o alvo, poderá tornar-se Charme. Alternar de uma para outra para ganhar um segundo teste ainda constitui um teste Forçado
Exemplos de fracasso em testes Forçados: o alvo se ofende e se recusa a ter qualquer contato com você; seu suborno funcionou e o alvo assinou os formulários — no entanto, na luz fria da manhã, ele sente que foi enganado, e agora seu procurador empregou um detetive particular para descobrir o que você está fazendo, ou está processando você por negligência; o alvo não gosta da sua conversa fiada e, repentinamente, saca uma faca contra você; você persuadiu o guarda de segurança a fechar os olhos para o seu roubo — no entanto, ele
perde o emprego e, sentindo-se culpado, comete suicídio (a totalidade das implicações de suas ações o atingem e você perde sanidade por causar a morte de um inocente).
Se um investigador insano falhar em um teste Forçado, ele pode ser encontrado posteriormente em uma esquina tentando explicar seus argumentos ou pontos de vistas bizarros para os transeuntes.</t>
  </si>
  <si>
    <t>Pilotar (Especializações)</t>
  </si>
  <si>
    <t>ATRIBUTOS</t>
  </si>
  <si>
    <t>Pilotar (Especializações) (01%)
O equivalente aéreo ou naval de Dirigir Automóveis, esta é a perícia usada para manobrar veículos voadores ou aquáticos. Você pode gastar pontos de perícia para comprar qualquer especialização. A perícia genérica “Pilotar” não pode ser comprada. Um investigador pode ter várias versões dessa perícia em sua ficha de investigador (tais como Pilotar Avião, Pilotar Dirigível, etc.). Cada uma começa em 01%. Qualquer pessoa com uma competência modesta pode navegar ou voar em um dia calmo e com boa visibilidade, embora testes sejam necessários para pilotar em tempestades, guiar-se usando instrumentos simples, pilotar com baixa visibilidade e outras situações difíceis. Mau tempo, visibilidade fraca e dano podem aumentar o nível de dificuldade dos testes de perícia para pilotar embarcações em água e ar. 
Exemplos de testes Forçados: puxar a aeronave para cima e fazer uma segunda e última tentativa de pouso; forçar o veículo até o limite; fazer uma manobra de risco para despistar um perseguidor.
Exemplos de fracasso em testes Forçados: os resultados de um teste fracassado devem corresponder à situação. Pode ser que a embarcação seja danificada de algum modo, e consertos terão que ser feitos antes que possa ser usada novamente (o que pode se provar impossível em locais remotos); passageiros são feridos durante a manobra ou acidente; você faz um pouso de emergência na selva e acorda amarrado a uma grande pedra defronte de um caldeirão borbulhante. Reserve a destruição total para casos excepcionais, como quando o piloto está insano, ou quando estiver fazendo algo muito arriscado em alta velocidade.
Se um investigador insano falhar em um teste Forçado, ele ou ela vai acreditar que é capaz de fazer acrobacias que desafiam a morte. Ele não é.
Especializações em Pilotar:
Pilotar (Aeronave): o personagem compreende e é progressivamente mais competente em uma classe geral de aeronaves descritas abaixo. Em qualquer pouso, mesmo nas melhores condições, um teste de Pilotar precisa ser feito. A consequência do fracasso depende da situação. Falhar em um teste (Forçado) para pousar em um campo plano e com grama, em um dia calmo de verão, pode simplesmente indicar um pouso turbulento, o que talvez impeça passageiros mais delicados de voarem novamente. No outro extremo, falhar em um teste (Forçado) para pousar sobre a tundra gelada durante uma tempestade pode resultar na destruição do avião e morte ou lesão de todos os envolvidos. Fracassos geralmente representam danos ao veículo, os quais devem ser consertados antes da próxima decolagem. Um resultado de 100 é um desastre memorável.
Cada classe de aeronave conta como uma perícia diferente e deve ser listada de forma independente, ou como o Guardião preferir.
* 1920: Pilotar Balão/Dirigível/Avião Civil apenas.
* Dias atuais: Pilotar Avião Civil, Pilotar Avião Civil a Jato, Pilotar Avião de Carreira, Pilotar Caça, Pilotar Helicóptero.
A perícia Pilotar pode ser usada com outros tipos de aeronave, mas o nível de dificuldade pode ser aumentado.
Pilotar (Barco): o personagem compreende o comportamento de pequenos barcos a motor e a vela, com ventos, tempestades e marés, e pode ler a ação do vento e das ondas para perceber obstáculos escondidos nas águas e tempestades que se aproximam. Durante ventanias, marinheiros principiantes acharão difícil aportar um barco a remo.</t>
  </si>
  <si>
    <t>Prestidigitação</t>
  </si>
  <si>
    <t>Prestidigitação (10%)
Permite que um objeto seja ocultado, escondido ou disfarçado, talvez utilizando detritos, tecidos ou outros materiais que o escondam, talvez usando um painel secreto ou um compartimento falso. Objetos maiores de qualquer tipo devem ser potencialmente mais difíceis de ocultar. Prestidigitação inclui punga, truques de mágica feitos com as mãos e o uso dissimulado de um telefone celular.
Exemplos de testes Forçados: passar mais tempo estudando o alvo e seus comportamentos; tocar ou esbarrar no alvo; preparar uma estrutura elaborada dentro de uma jaqueta para ocultar uma carta ou dados viciados; fazer alguém criar uma distração.
Exemplos de fracasso em testes Forçados: você sente a mão de um policial em seu ombro; embora ninguém possa provar que você pegou o inestimável diamante, alguém tem suas suspeitas e você começa a notar que, durante a última semana, tem sido seguido por uma figura misteriosa; você é pego em flagrante e o mafioso não pega leve com ladrões! Você é levado para os fundos e ele usa um par de bastões de beisebol para lhe mostrar como se faz negócios.
Se um investigador insano falhar em um teste forçado, ele ou ela age como um cleptomaníaco.</t>
  </si>
  <si>
    <t>Primeiros socorros</t>
  </si>
  <si>
    <t>Primeiros socorros (30%)
O usuário é capaz de fornecer cuidados médicos emergenciais. Isso pode abranger: imobilizar uma perna quebrada, estancar um sangramento, tratar uma queimadura, reanimar uma vítima de afogamento, higienizar e cobrir uma ferida, etc. Primeiros Socorros não pode ser usada para tratar doenças (a perícia Medicina é necessária). Para ser eficaz, os Primeiros Socorros devem ser empregados dentro de uma hora, situação em que concedem a recuperação de um ponto de vida. Essa perícia pode ser tentada uma vez, com tentativas subsequentes constituindo um teste Forçado. Duas pessoas podem trabalhar em conjunto para administrar Primeiros Socorros, basta que uma consiga ter sucesso. O uso bem-sucedido de Primeiros Socorros pode devolver à consciência alguém que esteja inconsciente. Um personagem é limitado a receber um tratamento bem-sucedido tanto de Primeiros Socorros quanto de Medicina, até que sofra novos ferimentos. No tratamento de um personagem que esteja Morrendo, o uso bem-sucedido de Primeiros Socorros estabiliza esse personagem durante uma hora e concede 1 ponto de vida temporário. Ao final de uma hora, e a cada hora seguinte, o personagem deve ser bem-sucedido em um teste de CON para permanecer estabilizado, do contrário (em caso de fracasso no teste), o personagem estará Morrendo e perde o ponto de vida temporário, precisando fazer um teste de CON por rodada para não morrer. Se o personagem sobreviver até a rodada seguinte, o uso de Primeiros Socorros pode ser tentado novamente (por até duas pessoas). Isso pode continuar (sem constituir um teste Forçado) até o que o personagem seja estabilizado ou morra. Primeiros Socorros (e apenas Primeiros Socorros) podem salvar a vida de um personagem que esteja Morrendo, depois do que ele precisa receber um teste bem-sucedido de Medicina ou ser hospitalizado. Portanto, Primeiros Socorros é uma perícia importante para se ter, em conjunto com Medicina, se você deseja ser um médico completo.
Exemplos de testes Forçados: passar mais tempo tratando do paciente; empregar métodos arriscados para tratar de um ferimento.
Exemplos de fracasso em testes Forçados: as coisas pioram, causando mais um ponto de dano. Se um investigador insano falhar em um teste forçado, ele ou ela se sente obrigado a “curar” a pessoa, mesmo que isso signifique amputar um membro ou coisa pior. Na verdade, seus esforços se constituem em ataques físicos que podem levar ao assassinato se não forem interrompidos.</t>
  </si>
  <si>
    <t>Psicanálise</t>
  </si>
  <si>
    <t>Psicanálise (01%)
Essa perícia refere-se às várias terapias emocionais, não apenas aos procedimentos freudianos. A psicoterapia formal ainda estava em sua infância na década de 1890, embora alguns procedimentos sejam tão antigos quanto a humanidade. Às vezes, era considerado um estudo fraudulento mesmo na década de 1920. O termo comum na época para designar um analista ou estudioso de distúrbios emocionais era “alienista”. No presente, os procedimentos evoluíram, e essa perícia poderia ser chamada com justiça de Tratamento Psiquiátrico. A psicanálise intensiva pode devolver pontos de Sanidade a um paciente investigador. Uma vez por mês de jogo, para saber o progresso da terapia, faça um teste usando a Psicanálise do analista ou doutor. Se o teste for bem sucedido, o paciente recupera 1D3 pontos de Sanidade. Se o teste falhar, não há mudança. Se a jogada resultar em um Desastre, então o paciente perde de 1D6 pontos de Sanidade e o tratamento com aquele profissional termina: houve algum tipo de incidente grave ou dramático revés na terapia e a relação entre paciente e terapeuta deteriorou-se para além de qualquer salvação.
Em jogo, a psicanálise por si só não acelera a recuperação de insanidade indefinida, o que requer 1D6 meses de cuidados institucionais (ou similares), nos quais a psicoterapia pode estar envolvida. O uso bem-sucedido dessa perícia pode permitir que outra pessoa enfrente o objeto de sua fobia por um curto período de tempo, ou então que consiga discernir os seus delírios. Em jogo, isso permite que um investigador insano ignore os efeitos de uma fobia ou mania por um breve período, permitindo que um claustrófobo se esconda em  um armário por dez minutos, por exemplo. Da mesma forma, uma pessoa pode fazer um teste de Psicanálise para ajudar um investigador delirante a ver através de sua alucinação por um breve período. O tratamento realizado por um psicoterapeuta pode conceder pontos de Sanidade durante o período de insanidade indefinida. A psicanálise não pode aumentar os pontos de Sanidade de uma pessoa para além de 99–Mythos de Cthulhu.
Exemplos de testes Forçados: esta perícia pode ser tentada a cada mês sem precisar um teste Forçado. No entanto, se alguém falhar no teste de determinado mês, pode-se optar por Forçar o teste durante uma única sessão de terapia no dia seguinte, sob a forma de uma intervenção radical (se um resultado rápido for necessário). Por exemplo, forçar um paciente a “enfrentar” seu medo ativamente, obrigando-o a encarar sua realidade física; fazer com que os amigos e colegas próximos do paciente participem ativamente da terapia.
Exemplos de fracasso em testes Forçados: curar o medo que o paciente tem de aranhas trancando-o em uma sala cheia de tarântulas dá errado e o paciente entra numa fúria descontrolada (possivelmente causando dano a si mesmo e a outros) e agora pensa que é o “rei aranha” (o paciente agora tem uma nova mania e perde pontos de sanidade adicionais — o terapeuta deve fazer um teste de Sanidade também, pois suas ações causaram isso!)
Tal como um cego guiando outro cego, é possível que um personagem insano pratique psicanálise. Um personagem insano que falha em um teste forçado poderia procurar se tornar um líder de culto, tendo seus pacientes como recrutas.</t>
  </si>
  <si>
    <t>FOR</t>
  </si>
  <si>
    <t>Psicologia</t>
  </si>
  <si>
    <t>Psicologia (10%)
Uma perícia de percepção comum a todos os seres humanos, permite que usuário estude um indivíduo e forme uma ideia quanto às motivações e caráter de outra pessoa. O Guardião pode optar por fazer testes ocultos de Psicologia em nome dos jogadores, anunciando apenas a informação, verdadeira ou falsa, que o usuário conseguiu ao empregar a perícia.
Exemplos de testes Forçados: ser pouco sutil e perguntar sobre coisas altamente pessoais ou íntimas do alvo; imergir-se em dados relativos a uma pessoa específica (o alvo do seu estudo), a fim de pensar como ela e entender suas motivações.
Exemplos de fracasso em testes Forçados: você de alguma forma revela suas próprias motivações para o alvo; o alvo se ofende por suas perguntas bisbilhoteiras ou olhares curiosos, e se recusa a continuar falando com você, ou toma medidas contra você (talvez valendo-se de violência ou ligando para a polícia); sem que você saiba, o alvo tem conexão com seus adversários, e você involuntariamente revela sua própria agenda para eles; passar toda a semana trancado em seu quarto para construir o perfil psicológico do alvo deixou você física e mentalmente abalado (um dado de penalidade em todas as jogadas até se recuperar).
Se um investigador insano falhar em um teste forçado, ele ou ela acredita que ouve os pensamentos malignos do alvo, e lança-se em um ataque físico contra ele.</t>
  </si>
  <si>
    <t>Rastrear</t>
  </si>
  <si>
    <t>Rastrear (10%)
Com Rastrear, um investigador pode seguir uma pessoa, veículo ou animal sobre solo ou plantas/folhas. Fatores como o tempo que se passou desde que os rastros foram feitos, chuva e tipo de terreno podem afetar o nível de dificuldade.
Exemplos de testes Forçados: voltar por onde veio e passar mais tempo estudando a área; cobrir uma área cada vez maior, em uma espiral crescente, para localizar as pegadas (levando mais tempo, possivelmente fazendo mais barulho e tornando-se mais visível).
Exemplos de fracasso em testes Forçados: as pistas que você está seguindo o conduzem diretamente à trilha de um urso/leão/canibal faminto; você se descobre andando em círculos, só quando a noite cai você percebe que está totalmente perdido; você segue os rastros, apenas para ser emboscado ou pego em uma armadilha plantada pelo seu alvo.
Se um investigador insano falhar em um teste Forçado, ele ou ela seguirá compulsivamente quaisquer rastros (convencendo-se de que são os corretos) até que sejam fisicamente contidos ou coagidos de alguma outra forma.</t>
  </si>
  <si>
    <t>Saltar</t>
  </si>
  <si>
    <t>DES</t>
  </si>
  <si>
    <t>Saltar (20%)
Com um sucesso, o investigador pode pular para cima ou para baixo verticalmente, ou saltar horizontalmente, tendo corrido antes ou não. Quando estiver caindo, Saltar pode ser usada para diminuir o potencial dano da queda. Deve ser feito algum julgamento sobre o que constitui um salto regular, um salto difícil ou um salto extremo (exigindo, respectivamente, um sucesso Regular, um sucesso Sólido e um sucesso Extremo). Como guia, um sucesso Regular seria necessário para um investigador pular para baixo em segurança uma distância até sua própria altura, pular horizontalmente uma distância até a sua própria altura, não tendo corrido antes do salto, ou, correndo antes, duas vezes a própria altura. Pode-se alcançar o dobro dessa distância com um sucesso Extremo, mas tenha em mente que o recorde mundial para salto em comprimento é de cerca de 9 metros. Caso se esteja caindo do alto, um Salto bem-sucedido prepara o personagem para a queda, reduzindo o dano resultante pela metade.
Exemplos de testes Forçados: demorar um tempo para avaliar o salto; usar todo o seu peso e força no salto — esforçando-se ao seu limite. Em alguns casos, um teste Forçado não é possível; se alguém pula sobre um abismo, não existe uma segunda chance. No entanto, se alguém está preso em um fosso e tentando pular para escapar, poderia tentar inúmeras vezes, o que seria resumido em um único teste Forçado.
Exemplos de fracasso em testes Forçados: cair e sofrer dano físico; conseguir saltar, mas um bem valioso (à escolha do Guardião) ser derrubado no processo.
Se um investigador insano falhar em um teste forçado, ele ou ela ficará convencido de que pode voar.</t>
  </si>
  <si>
    <t>Sobrevivência (Especializações)</t>
  </si>
  <si>
    <t>Sobrevivência (Especializações) (10%)
O conhecimento nesta perícia fornece as capacidades necessárias para sobreviver em ambientes extremos, tais como em condições de deserto ou ártico, bem como no mar ou em locais selvagens. Estão incluídos conhecimentos sobre caça, construção de abrigos, perigos (como evitar plantas venenosas), etc., de acordo com o ambiente em questão. Você pode gastar pontos de perícia para comprar qualquer especialização. A perícia genérica “Sobrevivência” não pode ser comprada. Uma especialização de ambiente deve ser determinada quando essa perícia é escolhida, por exemplo: Sobrevivência (Deserto), (Mar), (Ártico), etc. Quando um personagem não tem a especialização óbvia, ele pode fazer um teste usando uma especialização aparentada, com o nível de dificuldade aumentado (ou usando um dado de penalidade), a critério do Guardião.
Exemplos de testes Forçados: tentar algo arriscado (por exemplo, beber água sem purificá-la primeiro, comer frutas selvagens não identificadas); usar todas as suas roupas para melhorar um abrigo; queimar todos os seus pertences para fazer um sinal de fogo.
Exemplos de fracasso em testes Forçados: a caverna que você encontrou é habitada por um urso bastante furioso; queimar suas roupas para fazer um sinal de fogo entregou sua posição aos seus perseguidores — quem chegará primeiro, o resgate ou eles?
Se um investigador insano falhar em um teste forçado, ele ou ela acredita ser imune aos elementos e que pode sobreviver como um respiracionista (capaz de viver sem comida ou água).</t>
  </si>
  <si>
    <t>INT</t>
  </si>
  <si>
    <t>Treinar Animais</t>
  </si>
  <si>
    <t>Treinar Animais (05%) [Incomum]
A capacidade de comandar e treinar animais domesticados para executar tarefas simples. Esta perícia normalmente é utilizada com cães, mas pode incluir aves, gatos, macacos e assim por diante (a critério do Guardião). Para montar animais, como cavalos ou camelos, utiliza-se a perícia Cavalgar, bem como para amansar e controlar tais montarias. 
Exemplos de testes Forçados: assumir um grande risco pessoal, como ter que se aproximar ou lidar diretamente com o animal.
Exemplos de fracasso em testes Forçados: o animal ataca o treinador ou alguém nas proximidades, provavelmente causando ferimentos; o animal escapa.
Se um investigador insano falhar em um teste forçado, ele ou ela pode ser encontrado se comportando como o animal que estava tentando controlar.</t>
  </si>
  <si>
    <t>Usar Bibliotecas</t>
  </si>
  <si>
    <t>Combate</t>
  </si>
  <si>
    <t>Usar Bibliotecas (20%)
Usar Bibliotecas habilita um investigador a encontrar uma informação, como um livro, jornal ou referência específica em uma biblioteca, coleção de documentos ou banco de dados, assumindo que o que se procura está lá. O uso desta perícia denota várias horas de busca contínua. Essa perícia pode localizar arquivos antigos ou livros raros de edição especial, mas Persuasão, Lábia, Charme, Intimidação, Nível de Crédito ou credenciais especiais podem ter que ser usadas para ganhar acesso aos livros ou informações em questão.
Exemplos de testes Forçados: pressionar o bibliotecário para que ele ajude extensivamente; demorar mais para vasculhar sistematicamente as pilhas de livros.
Exemplos de fracasso em testes Forçados: encontrar um livro semelhante, contendo informações enganosas que colocarão os investigadores em perigo; dar de cara com um adversário — talvez ele seja alertado sobre suas pesquisas e aja contra você, ou pegue primeiro o livro que está procurando (ou simplesmente arranque as páginas importantes); entrarem uma discussão com o bibliotecário, resultando na revogação de sua inscrição como membro da biblioteca.
Se um investigador insano falhar em um teste forçado, ele ou ela acumula livros, recortando páginas para colá-las na parede do quarto, fazendo anotações bizarras e conectando as páginas com barbantes e alfinetes. Alternativamente, o investigador pode ficar obcecado em encontrar o livro ou a informação “certa”, gastando todo o seu tempo roubando e examinando obras.</t>
  </si>
  <si>
    <t>Dano extra</t>
  </si>
  <si>
    <t>CON</t>
  </si>
  <si>
    <t>APA</t>
  </si>
  <si>
    <t>POD</t>
  </si>
  <si>
    <t>Corpo</t>
  </si>
  <si>
    <t>Esquivar</t>
  </si>
  <si>
    <t>TAM</t>
  </si>
  <si>
    <t>EDU</t>
  </si>
  <si>
    <t>Antropologia (1%)</t>
  </si>
  <si>
    <t>Demolições (01%)
[Incomum]</t>
  </si>
  <si>
    <t>Lutar (Motosseras) (10%)</t>
  </si>
  <si>
    <t>Arma de fogo (15%)
(Arcos)</t>
  </si>
  <si>
    <t>Dirigir Automóveis (20%)</t>
  </si>
  <si>
    <t>Medicina (01%)</t>
  </si>
  <si>
    <t>Arma de fogo (10%)
(Armas Pesadas)</t>
  </si>
  <si>
    <t>Direito (05%)</t>
  </si>
  <si>
    <t>Mergulho (01%) [Incomum]</t>
  </si>
  <si>
    <t>Arma de fogo (10%)
(Lança-Chamas)</t>
  </si>
  <si>
    <t>Disfarce (05%)</t>
  </si>
  <si>
    <t>Mythos de Cthulhu (00%)</t>
  </si>
  <si>
    <t>Arma de fogo (10%)
(Metralhadora)</t>
  </si>
  <si>
    <t>Escalar (20%)</t>
  </si>
  <si>
    <t>Mundo Natural (10%)</t>
  </si>
  <si>
    <t>Arma de fogo (20%)
(Pistola)</t>
  </si>
  <si>
    <t>Escutar (20%)</t>
  </si>
  <si>
    <t>Natação (20%)</t>
  </si>
  <si>
    <t>Arma de fogo (20%)
(Rifles/Espingardas)</t>
  </si>
  <si>
    <t>Encontrar (25%)</t>
  </si>
  <si>
    <t>Navegação (10%)</t>
  </si>
  <si>
    <t>Arma de fogo (15%)
(Submetralhadora)</t>
  </si>
  <si>
    <t>Esquivar 
(metade da DES%)</t>
  </si>
  <si>
    <t>Nível de Crédito (00%)</t>
  </si>
  <si>
    <t>Arqueologia (01%)</t>
  </si>
  <si>
    <t>Furtividade (20%)</t>
  </si>
  <si>
    <t>Ocultismo (05%)</t>
  </si>
  <si>
    <t>Arremessar (20%)</t>
  </si>
  <si>
    <t>Hipnose (01%) [Incomum]</t>
  </si>
  <si>
    <t>Operar Maquinário Pesado (01%)</t>
  </si>
  <si>
    <t>Arte e Ofício (05%)
 (Especializações)</t>
  </si>
  <si>
    <t>História (05%)</t>
  </si>
  <si>
    <t>Persuasão (10%)</t>
  </si>
  <si>
    <t>3,,</t>
  </si>
  <si>
    <t>Intimidação (15%)</t>
  </si>
  <si>
    <t>Pilotar (01%) (Especializações)</t>
  </si>
  <si>
    <t>Artilharia (01%)
(Incomum)</t>
  </si>
  <si>
    <t>Lábia (05%)</t>
  </si>
  <si>
    <t>Prestidigitação (10%)</t>
  </si>
  <si>
    <t>Avaliação (01%)</t>
  </si>
  <si>
    <t>Leitura Labial (01%) [Incomum]</t>
  </si>
  <si>
    <t>Primeiros socorros (30%)</t>
  </si>
  <si>
    <t>Cavalgar (05%)</t>
  </si>
  <si>
    <t>Língua (Nativa) 
(EDU%)</t>
  </si>
  <si>
    <t>Psicanálise (01%)</t>
  </si>
  <si>
    <t>Charme (15%)</t>
  </si>
  <si>
    <t>Língua, Outra (01%)</t>
  </si>
  <si>
    <t>Psicologia (10%)</t>
  </si>
  <si>
    <t>Chaveiro (01%)</t>
  </si>
  <si>
    <t>Lutar (Briga) (25%)</t>
  </si>
  <si>
    <t>Rastrear (10%)</t>
  </si>
  <si>
    <t>Ciências (01%)
(Astronomia)</t>
  </si>
  <si>
    <t>Lutar (Chicotes) (5%)</t>
  </si>
  <si>
    <t>Saltar (20%)</t>
  </si>
  <si>
    <t>Ciências (01%)
(Especializações)</t>
  </si>
  <si>
    <t>Lutar (Espadas) (20%)</t>
  </si>
  <si>
    <t>Sobrevivência (10%) (Especializações)</t>
  </si>
  <si>
    <t>Conhecimento (01%)
(Especializações)</t>
  </si>
  <si>
    <t>Lutar (Garrote) (15%)</t>
  </si>
  <si>
    <t>Treinar Animais (05%) [Incomum]</t>
  </si>
  <si>
    <t>Consertos Elétricos (10%)</t>
  </si>
  <si>
    <t>Lutar (Lanças) (20%)</t>
  </si>
  <si>
    <t>Usar Bibliotecas (20%)</t>
  </si>
  <si>
    <t>Consertos 
Mecânicos (10%)</t>
  </si>
  <si>
    <t>Lutar (Machados) (15%)</t>
  </si>
  <si>
    <t>Contabilidade (05%)</t>
  </si>
  <si>
    <t>Lutar (Manguais) (10%)</t>
  </si>
  <si>
    <t>ARMAS</t>
  </si>
  <si>
    <t>Pericia</t>
  </si>
  <si>
    <t>Regular</t>
  </si>
  <si>
    <t>Sólido</t>
  </si>
  <si>
    <t>Extremo</t>
  </si>
  <si>
    <t>Dano</t>
  </si>
  <si>
    <t>Alcance</t>
  </si>
  <si>
    <t>Ataques</t>
  </si>
  <si>
    <t>Munição</t>
  </si>
  <si>
    <t>Mun. Max</t>
  </si>
  <si>
    <t>Defeito</t>
  </si>
  <si>
    <t>-</t>
  </si>
  <si>
    <t>Antecentes</t>
  </si>
  <si>
    <t>Descrição Pessoal</t>
  </si>
  <si>
    <t>Características</t>
  </si>
  <si>
    <t>Ideologia/ Crenças</t>
  </si>
  <si>
    <t>Ferimentos e Cicatrizes</t>
  </si>
  <si>
    <t>]</t>
  </si>
  <si>
    <t>Pessoas Significantes</t>
  </si>
  <si>
    <t>Fobias e Manias</t>
  </si>
  <si>
    <t>Locais Importantes</t>
  </si>
  <si>
    <t>Temoss Arcanos, Feitiços e Artefatos</t>
  </si>
  <si>
    <t>Pertences Queridos</t>
  </si>
  <si>
    <t>Encontros com Entidades Estranhas</t>
  </si>
  <si>
    <t>Equipamentos e Pertences</t>
  </si>
  <si>
    <t>Dinheiro e Recursos</t>
  </si>
  <si>
    <t>Nível de Gastos</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</si>
</sst>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8.0"/>
      <color theme="1"/>
      <name val="Times New Roman"/>
    </font>
    <font>
      <sz val="11.0"/>
      <color theme="1"/>
      <name val="Times New Roman"/>
    </font>
    <font>
      <b/>
      <sz val="18.0"/>
      <color theme="1"/>
      <name val="Times New Roman"/>
    </font>
    <font/>
    <font>
      <b/>
      <sz val="12.0"/>
      <color theme="1"/>
      <name val="Times New Roman"/>
    </font>
    <font>
      <sz val="12.0"/>
      <color theme="1"/>
      <name val="Times New Roman"/>
    </font>
    <font>
      <b/>
      <sz val="11.0"/>
      <color theme="1"/>
      <name val="Times New Roman"/>
    </font>
    <font>
      <sz val="11.0"/>
      <color rgb="FFFF0000"/>
      <name val="Times New Roman"/>
    </font>
    <font>
      <b/>
      <sz val="14.0"/>
      <color theme="1"/>
      <name val="Times New Roman"/>
    </font>
    <font>
      <sz val="14.0"/>
      <color theme="1"/>
      <name val="Times New Roman"/>
    </font>
    <font>
      <sz val="16.0"/>
      <color theme="1"/>
      <name val="Times New Roman"/>
    </font>
    <font>
      <sz val="24.0"/>
      <color theme="1"/>
      <name val="Times New Roman"/>
    </font>
    <font>
      <sz val="10.0"/>
      <color theme="1"/>
      <name val="Times New Roman"/>
    </font>
  </fonts>
  <fills count="8">
    <fill>
      <patternFill patternType="none"/>
    </fill>
    <fill>
      <patternFill patternType="lightGray"/>
    </fill>
    <fill>
      <patternFill patternType="solid">
        <fgColor rgb="FF0C0C0C"/>
        <bgColor rgb="FF0C0C0C"/>
      </patternFill>
    </fill>
    <fill>
      <patternFill patternType="solid">
        <fgColor theme="1"/>
        <bgColor theme="1"/>
      </patternFill>
    </fill>
    <fill>
      <patternFill patternType="solid">
        <fgColor rgb="FF7F7F7F"/>
        <bgColor rgb="FF7F7F7F"/>
      </patternFill>
    </fill>
    <fill>
      <patternFill patternType="solid">
        <fgColor rgb="FFA5A5A5"/>
        <bgColor rgb="FFA5A5A5"/>
      </patternFill>
    </fill>
    <fill>
      <patternFill patternType="solid">
        <fgColor theme="0"/>
        <bgColor theme="0"/>
      </patternFill>
    </fill>
    <fill>
      <patternFill patternType="solid">
        <fgColor rgb="FFBFBFBF"/>
        <bgColor rgb="FFBFBFBF"/>
      </patternFill>
    </fill>
  </fills>
  <borders count="79">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border>
    <border>
      <left style="medium">
        <color rgb="FF000000"/>
      </left>
      <top style="medium">
        <color rgb="FF000000"/>
      </top>
      <bottom/>
    </border>
    <border>
      <top style="medium">
        <color rgb="FF000000"/>
      </top>
      <bottom/>
    </border>
    <border>
      <right/>
      <top style="medium">
        <color rgb="FF000000"/>
      </top>
      <bottom/>
    </border>
    <border>
      <top style="medium">
        <color rgb="FF000000"/>
      </top>
    </border>
    <border>
      <right style="medium">
        <color rgb="FF000000"/>
      </right>
      <top style="medium">
        <color rgb="FF000000"/>
      </top>
    </border>
    <border>
      <right style="medium">
        <color rgb="FF000000"/>
      </right>
      <top style="medium">
        <color rgb="FF000000"/>
      </top>
      <bottom/>
    </border>
    <border>
      <left style="medium">
        <color rgb="FF000000"/>
      </left>
      <top style="medium">
        <color rgb="FF000000"/>
      </top>
    </border>
    <border>
      <left style="medium">
        <color theme="0"/>
      </left>
      <right style="medium">
        <color theme="0"/>
      </right>
      <top style="medium">
        <color theme="0"/>
      </top>
    </border>
    <border>
      <left/>
      <top/>
    </border>
    <border>
      <top/>
    </border>
    <border>
      <right/>
      <top/>
    </border>
    <border>
      <left style="medium">
        <color rgb="FF000000"/>
      </left>
      <top/>
      <bottom/>
    </border>
    <border>
      <right/>
      <top/>
      <bottom/>
    </border>
    <border>
      <right style="medium">
        <color rgb="FF000000"/>
      </right>
    </border>
    <border>
      <left style="medium">
        <color rgb="FF000000"/>
      </left>
      <right/>
      <top/>
      <bottom style="medium">
        <color rgb="FF000000"/>
      </bottom>
    </border>
    <border>
      <left/>
      <right/>
      <top/>
      <bottom style="medium">
        <color rgb="FF000000"/>
      </bottom>
    </border>
    <border>
      <left style="medium">
        <color rgb="FF000000"/>
      </left>
      <right/>
      <top style="medium">
        <color rgb="FF000000"/>
      </top>
      <bottom style="medium">
        <color rgb="FF000000"/>
      </bottom>
    </border>
    <border>
      <left style="medium">
        <color rgb="FF000000"/>
      </left>
    </border>
    <border>
      <left style="medium">
        <color theme="0"/>
      </left>
      <right style="medium">
        <color theme="0"/>
      </right>
    </border>
    <border>
      <left/>
    </border>
    <border>
      <right/>
    </border>
    <border>
      <right style="medium">
        <color rgb="FF000000"/>
      </right>
      <bottom style="medium">
        <color rgb="FF000000"/>
      </bottom>
    </border>
    <border>
      <left style="medium">
        <color rgb="FF000000"/>
      </left>
      <top/>
      <bottom style="medium">
        <color rgb="FF000000"/>
      </bottom>
    </border>
    <border>
      <right/>
      <top/>
      <bottom style="medium">
        <color rgb="FF000000"/>
      </bottom>
    </border>
    <border>
      <bottom style="medium">
        <color rgb="FF000000"/>
      </bottom>
    </border>
    <border>
      <left/>
      <right/>
      <top style="medium">
        <color rgb="FF000000"/>
      </top>
      <bottom style="medium">
        <color rgb="FF000000"/>
      </bottom>
    </border>
    <border>
      <left style="medium">
        <color rgb="FF000000"/>
      </left>
      <bottom style="medium">
        <color rgb="FF000000"/>
      </bottom>
    </border>
    <border>
      <left style="medium">
        <color theme="0"/>
      </left>
      <right style="medium">
        <color theme="0"/>
      </right>
      <bottom style="medium">
        <color theme="0"/>
      </bottom>
    </border>
    <border>
      <left/>
      <bottom/>
    </border>
    <border>
      <bottom/>
    </border>
    <border>
      <right/>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right style="medium">
        <color rgb="FF000000"/>
      </right>
      <top style="medium">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right style="medium">
        <color rgb="FF000000"/>
      </right>
      <top style="thin">
        <color rgb="FF000000"/>
      </top>
      <bottom style="medium">
        <color rgb="FF000000"/>
      </bottom>
    </border>
    <border>
      <left/>
      <right/>
      <top style="thin">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border>
    <border>
      <left/>
      <righ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right style="medium">
        <color rgb="FF000000"/>
      </right>
      <top style="thin">
        <color rgb="FF000000"/>
      </top>
      <bottom style="thin">
        <color rgb="FF000000"/>
      </bottom>
    </border>
    <border>
      <left/>
      <right/>
      <top style="thin">
        <color rgb="FF000000"/>
      </top>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right style="medium">
        <color rgb="FF000000"/>
      </right>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
      <right/>
      <top style="medium">
        <color rgb="FF000000"/>
      </top>
      <bottom style="medium">
        <color rgb="FF000000"/>
      </bottom>
    </border>
    <border>
      <left/>
      <top style="medium">
        <color rgb="FF000000"/>
      </top>
    </border>
    <border>
      <right/>
      <top style="medium">
        <color rgb="FF000000"/>
      </top>
    </border>
    <border>
      <left style="thin">
        <color rgb="FF000000"/>
      </left>
      <top style="medium">
        <color rgb="FF000000"/>
      </top>
    </border>
    <border>
      <left/>
      <bottom style="medium">
        <color rgb="FF000000"/>
      </bottom>
    </border>
    <border>
      <right/>
      <bottom style="medium">
        <color rgb="FF000000"/>
      </bottom>
    </border>
    <border>
      <left style="thin">
        <color rgb="FF000000"/>
      </left>
      <bottom style="medium">
        <color rgb="FF000000"/>
      </bottom>
    </border>
    <border>
      <left/>
      <right style="medium">
        <color rgb="FF000000"/>
      </right>
      <top/>
      <bottom/>
    </border>
    <border>
      <left style="medium">
        <color theme="0"/>
      </left>
      <right style="medium">
        <color theme="0"/>
      </right>
      <bottom/>
    </border>
    <border>
      <left/>
      <top/>
      <bottom/>
    </border>
    <border>
      <left/>
      <right style="medium">
        <color rgb="FF000000"/>
      </right>
      <top style="medium">
        <color rgb="FF000000"/>
      </top>
      <bottom style="medium">
        <color rgb="FF000000"/>
      </bottom>
    </border>
    <border>
      <lef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1" fillId="2" fontId="2" numFmtId="0" xfId="0" applyAlignment="1" applyBorder="1" applyFill="1" applyFont="1">
      <alignment horizontal="center" shrinkToFit="0" vertical="center" wrapText="1"/>
    </xf>
    <xf borderId="1" fillId="3" fontId="2" numFmtId="0" xfId="0" applyAlignment="1" applyBorder="1" applyFill="1" applyFont="1">
      <alignment horizontal="center" vertical="center"/>
    </xf>
    <xf borderId="1" fillId="2" fontId="2" numFmtId="0" xfId="0" applyAlignment="1" applyBorder="1" applyFill="1" applyFont="1">
      <alignment horizontal="center" vertical="center"/>
    </xf>
    <xf borderId="1" fillId="3" fontId="2" numFmtId="0" xfId="0" applyAlignment="1" applyBorder="1" applyFill="1" applyFont="1">
      <alignment vertical="center"/>
    </xf>
    <xf borderId="2" fillId="4" fontId="3" numFmtId="0" xfId="0" applyAlignment="1" applyBorder="1" applyFill="1" applyFont="1">
      <alignment horizontal="center" vertical="center"/>
    </xf>
    <xf borderId="3" fillId="0" fontId="4" numFmtId="0" xfId="0" applyBorder="1" applyFont="1"/>
    <xf borderId="4" fillId="0" fontId="4" numFmtId="0" xfId="0" applyBorder="1" applyFont="1"/>
    <xf borderId="5" fillId="3" fontId="2" numFmtId="0" xfId="0" applyAlignment="1" applyBorder="1" applyFill="1" applyFont="1">
      <alignment vertical="center"/>
    </xf>
    <xf borderId="6" fillId="4" fontId="3" numFmtId="0" xfId="0" applyAlignment="1" applyBorder="1" applyFill="1" applyFont="1">
      <alignment horizontal="center" vertical="center"/>
    </xf>
    <xf borderId="7" fillId="0" fontId="4" numFmtId="0" xfId="0" applyBorder="1" applyFont="1"/>
    <xf borderId="8" fillId="0" fontId="4" numFmtId="0" xfId="0" applyBorder="1" applyFont="1"/>
    <xf borderId="6" fillId="5" fontId="5" numFmtId="0" xfId="0" applyAlignment="1" applyBorder="1" applyFill="1" applyFont="1">
      <alignment horizontal="center" vertical="center"/>
    </xf>
    <xf borderId="9" fillId="0" fontId="6" numFmtId="0" xfId="0" applyAlignment="1" applyBorder="1" applyFont="1">
      <alignment horizontal="center" vertical="center"/>
    </xf>
    <xf borderId="9" fillId="0" fontId="4" numFmtId="0" xfId="0" applyBorder="1" applyFont="1"/>
    <xf borderId="10" fillId="0" fontId="4" numFmtId="0" xfId="0" applyBorder="1" applyFont="1"/>
    <xf borderId="6" fillId="5" fontId="7" numFmtId="0" xfId="0" applyAlignment="1" applyBorder="1" applyFill="1" applyFont="1">
      <alignment horizontal="center" vertical="center"/>
    </xf>
    <xf borderId="11" fillId="0" fontId="4" numFmtId="0" xfId="0" applyBorder="1" applyFont="1"/>
    <xf borderId="12" fillId="6" fontId="2" numFmtId="0" xfId="0" applyAlignment="1" applyBorder="1" applyFill="1" applyFont="1">
      <alignment horizontal="center" vertical="center"/>
    </xf>
    <xf borderId="13" fillId="6" fontId="2" numFmtId="0" xfId="0" applyAlignment="1" applyBorder="1" applyFill="1" applyFont="1">
      <alignment horizontal="center" shrinkToFit="0" vertical="center" wrapText="1"/>
    </xf>
    <xf borderId="14" fillId="7" fontId="2" numFmtId="0" xfId="0" applyAlignment="1" applyBorder="1" applyFill="1" applyFont="1">
      <alignment horizontal="center" shrinkToFit="0" vertical="center" wrapText="1"/>
    </xf>
    <xf borderId="15" fillId="0" fontId="4" numFmtId="0" xfId="0" applyBorder="1" applyFont="1"/>
    <xf borderId="16" fillId="0" fontId="4" numFmtId="0" xfId="0" applyBorder="1" applyFont="1"/>
    <xf borderId="17" fillId="5" fontId="5" numFmtId="0" xfId="0" applyAlignment="1" applyBorder="1" applyFill="1" applyFont="1">
      <alignment horizontal="center" vertical="center"/>
    </xf>
    <xf borderId="18" fillId="0" fontId="4" numFmtId="0" xfId="0" applyBorder="1" applyFont="1"/>
    <xf borderId="0" fillId="0" fontId="6" numFmtId="0" xfId="0" applyAlignment="1" applyFont="1">
      <alignment horizontal="center" vertical="center"/>
    </xf>
    <xf borderId="19" fillId="0" fontId="4" numFmtId="0" xfId="0" applyBorder="1" applyFont="1"/>
    <xf borderId="20" fillId="5" fontId="2" numFmtId="0" xfId="0" applyAlignment="1" applyBorder="1" applyFill="1" applyFont="1">
      <alignment horizontal="center" shrinkToFit="0" vertical="center" wrapText="1"/>
    </xf>
    <xf borderId="21" fillId="7" fontId="2" numFmtId="0" xfId="0" applyAlignment="1" applyBorder="1" applyFill="1" applyFont="1">
      <alignment horizontal="center" vertical="center"/>
    </xf>
    <xf borderId="22" fillId="5" fontId="2" numFmtId="0" xfId="0" applyAlignment="1" applyBorder="1" applyFill="1" applyFont="1">
      <alignment horizontal="center" shrinkToFit="0" vertical="center" wrapText="1"/>
    </xf>
    <xf borderId="4" fillId="0" fontId="2" numFmtId="0" xfId="0" applyAlignment="1" applyBorder="1" applyFont="1">
      <alignment horizontal="center" vertical="center"/>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 fillId="5" fontId="5" numFmtId="0" xfId="0" applyAlignment="1" applyBorder="1" applyFill="1" applyFont="1">
      <alignment horizontal="center" vertical="center"/>
    </xf>
    <xf borderId="1" fillId="5" fontId="5" numFmtId="0" xfId="0" applyAlignment="1" applyBorder="1" applyFill="1" applyFont="1">
      <alignment horizontal="left" vertical="center"/>
    </xf>
    <xf borderId="19" fillId="0" fontId="6" numFmtId="0" xfId="0" applyAlignment="1" applyBorder="1" applyFont="1">
      <alignment horizontal="center" vertical="center"/>
    </xf>
    <xf borderId="20" fillId="5" fontId="2" numFmtId="0" xfId="0" applyAlignment="1" applyBorder="1" applyFill="1" applyFont="1">
      <alignment horizontal="center" vertical="center"/>
    </xf>
    <xf borderId="21" fillId="3" fontId="2" numFmtId="0" xfId="0" applyAlignment="1" applyBorder="1" applyFill="1" applyFont="1">
      <alignment horizontal="center" vertical="center"/>
    </xf>
    <xf borderId="27" fillId="0" fontId="2" numFmtId="0" xfId="0" applyAlignment="1" applyBorder="1" applyFont="1">
      <alignment horizontal="center" vertical="center"/>
    </xf>
    <xf borderId="28" fillId="5" fontId="5" numFmtId="0" xfId="0" applyAlignment="1" applyBorder="1" applyFill="1" applyFont="1">
      <alignment horizontal="center" vertical="center"/>
    </xf>
    <xf borderId="29" fillId="0" fontId="4" numFmtId="0" xfId="0" applyBorder="1" applyFont="1"/>
    <xf borderId="30" fillId="0" fontId="6" numFmtId="0" xfId="0" applyAlignment="1" applyBorder="1" applyFont="1">
      <alignment horizontal="center" vertical="center"/>
    </xf>
    <xf borderId="30" fillId="0" fontId="4" numFmtId="0" xfId="0" applyBorder="1" applyFont="1"/>
    <xf borderId="27" fillId="0" fontId="4" numFmtId="0" xfId="0" applyBorder="1" applyFont="1"/>
    <xf borderId="22" fillId="5" fontId="2" numFmtId="0" xfId="0" applyAlignment="1" applyBorder="1" applyFill="1" applyFont="1">
      <alignment horizontal="center" vertical="center"/>
    </xf>
    <xf borderId="3" fillId="0" fontId="2" numFmtId="0" xfId="0" applyAlignment="1" applyBorder="1" applyFont="1">
      <alignment horizontal="center" vertical="center"/>
    </xf>
    <xf borderId="31" fillId="7" fontId="2" numFmtId="0" xfId="0" applyAlignment="1" applyBorder="1" applyFill="1" applyFont="1">
      <alignment horizontal="center" vertical="center"/>
    </xf>
    <xf borderId="31" fillId="5" fontId="2" numFmtId="0" xfId="0" applyAlignment="1" applyBorder="1" applyFill="1" applyFont="1">
      <alignment horizontal="center" shrinkToFit="0" vertical="center" wrapText="1"/>
    </xf>
    <xf borderId="32" fillId="0" fontId="4" numFmtId="0" xfId="0" applyBorder="1" applyFont="1"/>
    <xf borderId="33" fillId="0" fontId="4" numFmtId="0" xfId="0" applyBorder="1" applyFont="1"/>
    <xf borderId="34" fillId="0" fontId="4" numFmtId="0" xfId="0" applyBorder="1" applyFont="1"/>
    <xf borderId="35" fillId="0" fontId="4" numFmtId="0" xfId="0" applyBorder="1" applyFont="1"/>
    <xf borderId="36" fillId="0" fontId="4" numFmtId="0" xfId="0" applyBorder="1" applyFont="1"/>
    <xf borderId="1" fillId="3" fontId="8" numFmtId="0" xfId="0" applyAlignment="1" applyBorder="1" applyFill="1" applyFont="1">
      <alignment horizontal="center" vertical="center"/>
    </xf>
    <xf borderId="37" fillId="5" fontId="9" numFmtId="0" xfId="0" applyAlignment="1" applyBorder="1" applyFill="1" applyFont="1">
      <alignment horizontal="center" vertical="center"/>
    </xf>
    <xf borderId="38" fillId="0" fontId="10" numFmtId="0" xfId="0" applyAlignment="1" applyBorder="1" applyFont="1">
      <alignment horizontal="center" vertical="center"/>
    </xf>
    <xf borderId="39" fillId="7" fontId="2" numFmtId="0" xfId="0" applyAlignment="1" applyBorder="1" applyFill="1" applyFont="1">
      <alignment horizontal="center" vertical="center"/>
    </xf>
    <xf borderId="2" fillId="4" fontId="7" numFmtId="0" xfId="0" applyAlignment="1" applyBorder="1" applyFill="1" applyFont="1">
      <alignment horizontal="center" vertical="center"/>
    </xf>
    <xf borderId="1" fillId="3" fontId="2" numFmtId="0" xfId="0" applyAlignment="1" applyBorder="1" applyFill="1" applyFont="1">
      <alignment horizontal="center" shrinkToFit="0" vertical="center" wrapText="1"/>
    </xf>
    <xf borderId="40" fillId="0" fontId="4" numFmtId="0" xfId="0" applyBorder="1" applyFont="1"/>
    <xf borderId="41" fillId="0" fontId="4" numFmtId="0" xfId="0" applyBorder="1" applyFont="1"/>
    <xf borderId="42" fillId="7" fontId="2" numFmtId="0" xfId="0" applyAlignment="1" applyBorder="1" applyFill="1" applyFont="1">
      <alignment horizontal="center" vertical="center"/>
    </xf>
    <xf borderId="43" fillId="7" fontId="2" numFmtId="0" xfId="0" applyAlignment="1" applyBorder="1" applyFill="1" applyFont="1">
      <alignment horizontal="center" vertical="center"/>
    </xf>
    <xf borderId="44" fillId="5" fontId="7" numFmtId="0" xfId="0" applyAlignment="1" applyBorder="1" applyFill="1" applyFont="1">
      <alignment horizontal="center" shrinkToFit="0" vertical="center" wrapText="1"/>
    </xf>
    <xf borderId="45" fillId="0" fontId="4" numFmtId="0" xfId="0" applyBorder="1" applyFont="1"/>
    <xf borderId="46" fillId="7" fontId="2" numFmtId="0" xfId="0" applyAlignment="1" applyBorder="1" applyFill="1" applyFont="1">
      <alignment horizontal="center" vertical="center"/>
    </xf>
    <xf borderId="47" fillId="7" fontId="2" numFmtId="0" xfId="0" applyAlignment="1" applyBorder="1" applyFill="1" applyFont="1">
      <alignment horizontal="center" vertical="center"/>
    </xf>
    <xf borderId="48" fillId="5" fontId="7" numFmtId="0" xfId="0" applyAlignment="1" applyBorder="1" applyFill="1" applyFont="1">
      <alignment horizontal="center" shrinkToFit="0" vertical="center" wrapText="1"/>
    </xf>
    <xf borderId="49" fillId="0" fontId="4" numFmtId="0" xfId="0" applyBorder="1" applyFont="1"/>
    <xf borderId="50" fillId="7" fontId="2" numFmtId="0" xfId="0" applyAlignment="1" applyBorder="1" applyFill="1" applyFont="1">
      <alignment horizontal="center" vertical="center"/>
    </xf>
    <xf borderId="51" fillId="7" fontId="2" numFmtId="0" xfId="0" applyAlignment="1" applyBorder="1" applyFill="1" applyFont="1">
      <alignment horizontal="center" vertical="center"/>
    </xf>
    <xf borderId="52" fillId="5" fontId="7" numFmtId="0" xfId="0" applyAlignment="1" applyBorder="1" applyFill="1" applyFont="1">
      <alignment horizontal="center" shrinkToFit="0" vertical="center" wrapText="1"/>
    </xf>
    <xf borderId="53" fillId="7" fontId="11" numFmtId="0" xfId="0" applyAlignment="1" applyBorder="1" applyFill="1" applyFont="1">
      <alignment horizontal="center" vertical="center"/>
    </xf>
    <xf borderId="54" fillId="7" fontId="2" numFmtId="0" xfId="0" applyAlignment="1" applyBorder="1" applyFill="1" applyFont="1">
      <alignment horizontal="center" vertical="center"/>
    </xf>
    <xf borderId="12" fillId="5" fontId="5" numFmtId="0" xfId="0" applyAlignment="1" applyBorder="1" applyFill="1" applyFont="1">
      <alignment horizontal="center" shrinkToFit="0" vertical="center" wrapText="1"/>
    </xf>
    <xf borderId="55" fillId="0" fontId="4" numFmtId="0" xfId="0" applyBorder="1" applyFont="1"/>
    <xf borderId="56" fillId="7" fontId="2" numFmtId="0" xfId="0" applyAlignment="1" applyBorder="1" applyFill="1" applyFont="1">
      <alignment horizontal="center" vertical="center"/>
    </xf>
    <xf borderId="57" fillId="7" fontId="2" numFmtId="0" xfId="0" applyAlignment="1" applyBorder="1" applyFill="1" applyFont="1">
      <alignment horizontal="center" vertical="center"/>
    </xf>
    <xf borderId="58" fillId="0" fontId="4" numFmtId="0" xfId="0" applyBorder="1" applyFont="1"/>
    <xf borderId="59" fillId="0" fontId="4" numFmtId="0" xfId="0" applyBorder="1" applyFont="1"/>
    <xf borderId="2" fillId="5" fontId="7" numFmtId="0" xfId="0" applyAlignment="1" applyBorder="1" applyFill="1" applyFont="1">
      <alignment horizontal="center" shrinkToFit="0" vertical="center" wrapText="1"/>
    </xf>
    <xf borderId="60" fillId="0" fontId="4" numFmtId="0" xfId="0" applyBorder="1" applyFont="1"/>
    <xf borderId="27" fillId="0" fontId="10" numFmtId="0" xfId="0" applyAlignment="1" applyBorder="1" applyFont="1">
      <alignment horizontal="center" vertical="center"/>
    </xf>
    <xf borderId="61" fillId="7" fontId="2" numFmtId="0" xfId="0" applyAlignment="1" applyBorder="1" applyFill="1" applyFont="1">
      <alignment horizontal="center" shrinkToFit="0" vertical="top" wrapText="1"/>
    </xf>
    <xf borderId="62" fillId="0" fontId="4" numFmtId="0" xfId="0" applyBorder="1" applyFont="1"/>
    <xf borderId="12" fillId="0" fontId="12" numFmtId="0" xfId="0" applyAlignment="1" applyBorder="1" applyFont="1">
      <alignment horizontal="center" vertical="center"/>
    </xf>
    <xf borderId="61" fillId="7" fontId="2" numFmtId="0" xfId="0" applyAlignment="1" applyBorder="1" applyFill="1" applyFont="1">
      <alignment horizontal="center" shrinkToFit="0" vertical="center" wrapText="1"/>
    </xf>
    <xf borderId="63" fillId="7" fontId="2" numFmtId="0" xfId="0" applyAlignment="1" applyBorder="1" applyFill="1" applyFont="1">
      <alignment horizontal="center" shrinkToFit="0" vertical="center" wrapText="1"/>
    </xf>
    <xf borderId="9" fillId="0" fontId="1" numFmtId="0" xfId="0" applyAlignment="1" applyBorder="1" applyFont="1">
      <alignment horizontal="center" vertical="center"/>
    </xf>
    <xf borderId="64" fillId="0" fontId="4" numFmtId="0" xfId="0" applyBorder="1" applyFont="1"/>
    <xf borderId="65" fillId="0" fontId="4" numFmtId="0" xfId="0" applyBorder="1" applyFont="1"/>
    <xf borderId="66" fillId="0" fontId="4" numFmtId="0" xfId="0" applyBorder="1" applyFont="1"/>
    <xf borderId="67" fillId="7" fontId="2" numFmtId="0" xfId="0" applyAlignment="1" applyBorder="1" applyFill="1" applyFont="1">
      <alignment horizontal="center" vertical="center"/>
    </xf>
    <xf borderId="68" fillId="0" fontId="4" numFmtId="0" xfId="0" applyBorder="1" applyFont="1"/>
    <xf borderId="69" fillId="6" fontId="2" numFmtId="0" xfId="0" applyAlignment="1" applyBorder="1" applyFill="1" applyFont="1">
      <alignment horizontal="center" vertical="center"/>
    </xf>
    <xf borderId="1" fillId="6" fontId="2" numFmtId="0" xfId="0" applyAlignment="1" applyBorder="1" applyFill="1" applyFont="1">
      <alignment horizontal="center" vertical="center"/>
    </xf>
    <xf borderId="2" fillId="6" fontId="2" numFmtId="0" xfId="0" applyAlignment="1" applyBorder="1" applyFill="1" applyFont="1">
      <alignment horizontal="center" vertical="center"/>
    </xf>
    <xf borderId="31" fillId="6" fontId="13" numFmtId="0" xfId="0" applyAlignment="1" applyBorder="1" applyFill="1" applyFont="1">
      <alignment horizontal="center" shrinkToFit="0" vertical="center" wrapText="1"/>
    </xf>
    <xf borderId="31" fillId="7" fontId="11" numFmtId="0" xfId="0" applyAlignment="1" applyBorder="1" applyFill="1" applyFont="1">
      <alignment horizontal="center" vertical="center"/>
    </xf>
    <xf borderId="31" fillId="6" fontId="2" numFmtId="0" xfId="0" applyAlignment="1" applyBorder="1" applyFill="1" applyFont="1">
      <alignment horizontal="center" vertical="center"/>
    </xf>
    <xf borderId="70" fillId="6" fontId="2" numFmtId="0" xfId="0" applyAlignment="1" applyBorder="1" applyFill="1" applyFont="1">
      <alignment horizontal="center" vertical="center"/>
    </xf>
    <xf borderId="31" fillId="6" fontId="2" numFmtId="0" xfId="0" applyAlignment="1" applyBorder="1" applyFill="1" applyFont="1">
      <alignment horizontal="center" shrinkToFit="0" vertical="center" wrapText="1"/>
    </xf>
    <xf borderId="31" fillId="7" fontId="1" numFmtId="0" xfId="0" applyAlignment="1" applyBorder="1" applyFill="1" applyFont="1">
      <alignment horizontal="center" vertical="center"/>
    </xf>
    <xf borderId="14" fillId="7" fontId="2" numFmtId="0" xfId="0" applyAlignment="1" applyBorder="1" applyFill="1" applyFont="1">
      <alignment horizontal="center" shrinkToFit="0" vertical="top" wrapText="1"/>
    </xf>
    <xf borderId="2" fillId="5" fontId="2" numFmtId="0" xfId="0" applyAlignment="1" applyBorder="1" applyFill="1" applyFont="1">
      <alignment horizontal="center" vertical="center"/>
    </xf>
    <xf borderId="12" fillId="0" fontId="2" numFmtId="0" xfId="0" applyAlignment="1" applyBorder="1" applyFont="1">
      <alignment horizontal="center" shrinkToFit="0" vertical="center" wrapText="1"/>
    </xf>
    <xf borderId="23" fillId="0" fontId="2" numFmtId="0" xfId="0" applyAlignment="1" applyBorder="1" applyFont="1">
      <alignment horizontal="center" shrinkToFit="0" vertical="center" wrapText="1"/>
    </xf>
    <xf borderId="1" fillId="7" fontId="2" numFmtId="0" xfId="0" applyAlignment="1" applyBorder="1" applyFill="1" applyFont="1">
      <alignment horizontal="center" shrinkToFit="0" vertical="top" wrapText="1"/>
    </xf>
    <xf borderId="71" fillId="4" fontId="3" numFmtId="0" xfId="0" applyAlignment="1" applyBorder="1" applyFill="1" applyFont="1">
      <alignment horizontal="center" vertical="center"/>
    </xf>
    <xf borderId="44" fillId="6" fontId="2" numFmtId="0" xfId="0" applyAlignment="1" applyBorder="1" applyFill="1" applyFont="1">
      <alignment horizontal="center" vertical="center"/>
    </xf>
    <xf borderId="72" fillId="0" fontId="4" numFmtId="0" xfId="0" applyBorder="1" applyFont="1"/>
    <xf borderId="73" fillId="0" fontId="4" numFmtId="0" xfId="0" applyBorder="1" applyFont="1"/>
    <xf borderId="44" fillId="0" fontId="2" numFmtId="0" xfId="0" applyAlignment="1" applyBorder="1" applyFont="1">
      <alignment horizontal="center" vertical="center"/>
    </xf>
    <xf borderId="72" fillId="0" fontId="2" numFmtId="0" xfId="0" applyAlignment="1" applyBorder="1" applyFont="1">
      <alignment horizontal="center" vertical="center"/>
    </xf>
    <xf borderId="48" fillId="6" fontId="2" numFmtId="0" xfId="0" applyAlignment="1" applyBorder="1" applyFill="1" applyFont="1">
      <alignment horizontal="center" vertical="center"/>
    </xf>
    <xf borderId="74" fillId="0" fontId="4" numFmtId="0" xfId="0" applyBorder="1" applyFont="1"/>
    <xf borderId="75" fillId="0" fontId="4" numFmtId="0" xfId="0" applyBorder="1" applyFont="1"/>
    <xf borderId="48" fillId="0" fontId="2" numFmtId="0" xfId="0" applyAlignment="1" applyBorder="1" applyFont="1">
      <alignment horizontal="center" vertical="center"/>
    </xf>
    <xf borderId="74" fillId="0" fontId="2" numFmtId="0" xfId="0" applyAlignment="1" applyBorder="1" applyFont="1">
      <alignment horizontal="left" vertical="center"/>
    </xf>
    <xf borderId="32" fillId="0" fontId="2" numFmtId="0" xfId="0" applyAlignment="1" applyBorder="1" applyFont="1">
      <alignment horizontal="center" vertical="center"/>
    </xf>
    <xf borderId="30" fillId="0" fontId="2" numFmtId="0" xfId="0" applyAlignment="1" applyBorder="1" applyFont="1">
      <alignment horizontal="left" vertical="center"/>
    </xf>
    <xf borderId="76" fillId="6" fontId="2" numFmtId="0" xfId="0" applyAlignment="1" applyBorder="1" applyFill="1" applyFont="1">
      <alignment horizontal="center" vertical="center"/>
    </xf>
    <xf borderId="77" fillId="0" fontId="4" numFmtId="0" xfId="0" applyBorder="1" applyFont="1"/>
    <xf borderId="78" fillId="0" fontId="4" numFmtId="0" xfId="0" applyBorder="1" applyFont="1"/>
    <xf borderId="76" fillId="0" fontId="2" numFmtId="0" xfId="0" applyAlignment="1" applyBorder="1" applyFont="1">
      <alignment horizontal="center" vertical="center"/>
    </xf>
  </cellXfs>
  <cellStyles count="1">
    <cellStyle xfId="0" name="Normal" builtinId="0"/>
  </cellStyles>
  <dxfs count="1">
    <dxf>
      <font/>
      <fill>
        <patternFill patternType="solid">
          <fgColor theme="1"/>
          <bgColor theme="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5" width="9.29"/>
    <col customWidth="1" min="6" max="6" width="10.29"/>
    <col customWidth="1" min="7" max="16" width="9.29"/>
    <col customWidth="1" min="17" max="17" width="9.14"/>
    <col customWidth="1" min="18" max="18" width="18.0"/>
    <col customWidth="1" min="19" max="36" width="9.14"/>
  </cols>
  <sheetData>
    <row r="1" ht="22.5" customHeight="1">
      <c r="A1" s="6"/>
      <c r="B1" s="6"/>
      <c r="C1" s="6"/>
      <c r="D1" s="6"/>
      <c r="E1" s="6"/>
      <c r="F1" s="6"/>
      <c r="G1" s="6"/>
      <c r="H1" s="6"/>
      <c r="I1" s="6"/>
      <c r="J1" s="6"/>
      <c r="K1" s="6"/>
      <c r="L1" s="6"/>
      <c r="M1" s="6"/>
      <c r="N1" s="6"/>
      <c r="O1" s="6"/>
      <c r="P1" s="8" t="str">
        <f t="array" ref="P1">IFS(AND(H11&lt;E15,E11&lt;E15),"7",OR(E11&gt;=E15,H11&gt;=E15,E11=E15=H11),"8",AND(E11&gt;E15,H11&gt;E15),"9")</f>
        <v>8</v>
      </c>
      <c r="Q1" s="6"/>
      <c r="R1" s="6"/>
      <c r="S1" s="6"/>
      <c r="T1" s="6"/>
      <c r="U1" s="6"/>
      <c r="V1" s="6"/>
      <c r="W1" s="6"/>
      <c r="X1" s="6"/>
      <c r="Y1" s="6"/>
      <c r="Z1" s="6"/>
      <c r="AA1" s="6"/>
      <c r="AB1" s="6"/>
      <c r="AC1" s="6"/>
      <c r="AD1" s="6"/>
      <c r="AE1" s="6"/>
      <c r="AF1" s="6"/>
      <c r="AG1" s="6"/>
      <c r="AH1" s="6"/>
      <c r="AI1" s="6"/>
      <c r="AJ1" s="6"/>
    </row>
    <row r="2">
      <c r="A2" s="6"/>
      <c r="B2" s="9" t="s">
        <v>80</v>
      </c>
      <c r="C2" s="10"/>
      <c r="D2" s="10"/>
      <c r="E2" s="10"/>
      <c r="F2" s="10"/>
      <c r="G2" s="10"/>
      <c r="H2" s="10"/>
      <c r="I2" s="10"/>
      <c r="J2" s="10"/>
      <c r="K2" s="10"/>
      <c r="L2" s="10"/>
      <c r="M2" s="10"/>
      <c r="N2" s="10"/>
      <c r="O2" s="10"/>
      <c r="P2" s="11"/>
      <c r="Q2" s="12"/>
      <c r="R2" s="13" t="s">
        <v>86</v>
      </c>
      <c r="S2" s="14"/>
      <c r="T2" s="14"/>
      <c r="U2" s="14"/>
      <c r="V2" s="14"/>
      <c r="W2" s="14"/>
      <c r="X2" s="14"/>
      <c r="Y2" s="14"/>
      <c r="Z2" s="14"/>
      <c r="AA2" s="14"/>
      <c r="AB2" s="14"/>
      <c r="AC2" s="14"/>
      <c r="AD2" s="14"/>
      <c r="AE2" s="14"/>
      <c r="AF2" s="14"/>
      <c r="AG2" s="14"/>
      <c r="AH2" s="14"/>
      <c r="AI2" s="14"/>
      <c r="AJ2" s="15"/>
    </row>
    <row r="3">
      <c r="A3" s="6"/>
      <c r="B3" s="16" t="s">
        <v>94</v>
      </c>
      <c r="C3" s="15"/>
      <c r="D3" s="17"/>
      <c r="E3" s="18"/>
      <c r="F3" s="19"/>
      <c r="G3" s="6"/>
      <c r="H3" s="20" t="s">
        <v>97</v>
      </c>
      <c r="I3" s="14"/>
      <c r="J3" s="14"/>
      <c r="K3" s="14"/>
      <c r="L3" s="14"/>
      <c r="M3" s="21"/>
      <c r="N3" s="6"/>
      <c r="O3" s="22" t="s">
        <v>100</v>
      </c>
      <c r="P3" s="19"/>
      <c r="Q3" s="6"/>
      <c r="R3" s="23"/>
      <c r="S3" s="24" t="str">
        <f>IF(R3="","",VLOOKUP(R3,Regras!D2:E5,2,))</f>
        <v/>
      </c>
      <c r="T3" s="25"/>
      <c r="U3" s="25"/>
      <c r="V3" s="25"/>
      <c r="W3" s="25"/>
      <c r="X3" s="25"/>
      <c r="Y3" s="25"/>
      <c r="Z3" s="25"/>
      <c r="AA3" s="25"/>
      <c r="AB3" s="25"/>
      <c r="AC3" s="25"/>
      <c r="AD3" s="25"/>
      <c r="AE3" s="25"/>
      <c r="AF3" s="25"/>
      <c r="AG3" s="25"/>
      <c r="AH3" s="25"/>
      <c r="AI3" s="25"/>
      <c r="AJ3" s="26"/>
    </row>
    <row r="4">
      <c r="A4" s="6"/>
      <c r="B4" s="27" t="s">
        <v>115</v>
      </c>
      <c r="C4" s="28"/>
      <c r="D4" s="29"/>
      <c r="F4" s="30"/>
      <c r="G4" s="6"/>
      <c r="H4" s="31" t="s">
        <v>119</v>
      </c>
      <c r="I4" s="32">
        <f>ROUNDDOWN((E13+E15)/10,0)</f>
        <v>0</v>
      </c>
      <c r="J4" s="6"/>
      <c r="K4" s="6"/>
      <c r="L4" s="33" t="s">
        <v>124</v>
      </c>
      <c r="M4" s="34"/>
      <c r="N4" s="6"/>
      <c r="O4" s="35"/>
      <c r="P4" s="30"/>
      <c r="Q4" s="6"/>
      <c r="R4" s="36"/>
      <c r="S4" s="37"/>
      <c r="AJ4" s="38"/>
    </row>
    <row r="5">
      <c r="A5" s="6"/>
      <c r="B5" s="27" t="s">
        <v>127</v>
      </c>
      <c r="C5" s="28"/>
      <c r="D5" s="29"/>
      <c r="F5" s="30"/>
      <c r="G5" s="6"/>
      <c r="H5" s="39" t="s">
        <v>128</v>
      </c>
      <c r="I5" s="10"/>
      <c r="J5" s="10"/>
      <c r="K5" s="10"/>
      <c r="L5" s="10"/>
      <c r="M5" s="11"/>
      <c r="N5" s="6"/>
      <c r="O5" s="35"/>
      <c r="P5" s="30"/>
      <c r="Q5" s="6"/>
      <c r="R5" s="36"/>
      <c r="S5" s="37"/>
      <c r="AJ5" s="38"/>
    </row>
    <row r="6" ht="16.5" customHeight="1">
      <c r="A6" s="6"/>
      <c r="B6" s="27" t="s">
        <v>131</v>
      </c>
      <c r="C6" s="28"/>
      <c r="D6" s="29"/>
      <c r="E6" s="40" t="s">
        <v>134</v>
      </c>
      <c r="F6" s="41"/>
      <c r="G6" s="6"/>
      <c r="H6" s="42" t="s">
        <v>119</v>
      </c>
      <c r="I6" s="32">
        <f>L14</f>
        <v>0</v>
      </c>
      <c r="J6" s="43"/>
      <c r="K6" s="43"/>
      <c r="L6" s="33" t="s">
        <v>124</v>
      </c>
      <c r="M6" s="44">
        <f>I6</f>
        <v>0</v>
      </c>
      <c r="N6" s="6"/>
      <c r="O6" s="35"/>
      <c r="P6" s="30"/>
      <c r="Q6" s="6"/>
      <c r="R6" s="36"/>
      <c r="S6" s="37"/>
      <c r="AJ6" s="38"/>
    </row>
    <row r="7" ht="15.75" customHeight="1">
      <c r="A7" s="6"/>
      <c r="B7" s="27" t="s">
        <v>137</v>
      </c>
      <c r="C7" s="28"/>
      <c r="D7" s="29"/>
      <c r="F7" s="30"/>
      <c r="G7" s="6"/>
      <c r="H7" s="16" t="s">
        <v>139</v>
      </c>
      <c r="I7" s="14"/>
      <c r="J7" s="14"/>
      <c r="K7" s="14"/>
      <c r="L7" s="14"/>
      <c r="M7" s="21"/>
      <c r="N7" s="6"/>
      <c r="O7" s="35"/>
      <c r="P7" s="30"/>
      <c r="Q7" s="6"/>
      <c r="R7" s="36"/>
      <c r="S7" s="37"/>
      <c r="AJ7" s="38"/>
    </row>
    <row r="8">
      <c r="A8" s="6"/>
      <c r="B8" s="45" t="s">
        <v>143</v>
      </c>
      <c r="C8" s="46"/>
      <c r="D8" s="47"/>
      <c r="E8" s="48"/>
      <c r="F8" s="49"/>
      <c r="G8" s="6"/>
      <c r="H8" s="50" t="s">
        <v>119</v>
      </c>
      <c r="I8" s="51"/>
      <c r="J8" s="52" t="s">
        <v>146</v>
      </c>
      <c r="K8" s="52" t="str">
        <f>K13</f>
        <v/>
      </c>
      <c r="L8" s="53" t="s">
        <v>124</v>
      </c>
      <c r="M8" s="34"/>
      <c r="N8" s="6"/>
      <c r="O8" s="54"/>
      <c r="P8" s="49"/>
      <c r="Q8" s="6"/>
      <c r="R8" s="55"/>
      <c r="S8" s="56"/>
      <c r="T8" s="57"/>
      <c r="U8" s="57"/>
      <c r="V8" s="57"/>
      <c r="W8" s="57"/>
      <c r="X8" s="57"/>
      <c r="Y8" s="57"/>
      <c r="Z8" s="57"/>
      <c r="AA8" s="57"/>
      <c r="AB8" s="57"/>
      <c r="AC8" s="57"/>
      <c r="AD8" s="57"/>
      <c r="AE8" s="57"/>
      <c r="AF8" s="57"/>
      <c r="AG8" s="57"/>
      <c r="AH8" s="57"/>
      <c r="AI8" s="57"/>
      <c r="AJ8" s="58"/>
    </row>
    <row r="9">
      <c r="A9" s="6"/>
      <c r="B9" s="6"/>
      <c r="C9" s="6"/>
      <c r="D9" s="6"/>
      <c r="E9" s="6"/>
      <c r="F9" s="6"/>
      <c r="G9" s="6"/>
      <c r="H9" s="6"/>
      <c r="I9" s="6"/>
      <c r="J9" s="6"/>
      <c r="K9" s="6"/>
      <c r="L9" s="6"/>
      <c r="M9" s="6"/>
      <c r="N9" s="6"/>
      <c r="O9" s="6"/>
      <c r="P9" s="6"/>
      <c r="Q9" s="6"/>
      <c r="R9" s="8"/>
      <c r="S9" s="6"/>
      <c r="T9" s="6"/>
      <c r="U9" s="6"/>
      <c r="V9" s="6"/>
      <c r="W9" s="6"/>
      <c r="X9" s="6"/>
      <c r="Y9" s="6"/>
      <c r="Z9" s="6"/>
      <c r="AA9" s="6"/>
      <c r="AB9" s="6"/>
      <c r="AC9" s="6"/>
      <c r="AD9" s="6"/>
      <c r="AE9" s="6"/>
      <c r="AF9" s="6"/>
      <c r="AG9" s="6"/>
      <c r="AH9" s="6"/>
      <c r="AI9" s="6"/>
      <c r="AJ9" s="6"/>
    </row>
    <row r="10">
      <c r="A10" s="6"/>
      <c r="B10" s="6"/>
      <c r="C10" s="6"/>
      <c r="D10" s="9" t="s">
        <v>154</v>
      </c>
      <c r="E10" s="10"/>
      <c r="F10" s="10"/>
      <c r="G10" s="10"/>
      <c r="H10" s="10"/>
      <c r="I10" s="10"/>
      <c r="J10" s="10"/>
      <c r="K10" s="10"/>
      <c r="L10" s="10"/>
      <c r="M10" s="10"/>
      <c r="N10" s="10"/>
      <c r="O10" s="11"/>
      <c r="P10" s="6"/>
      <c r="Q10" s="59"/>
      <c r="R10" s="23"/>
      <c r="S10" s="24" t="str">
        <f>IF(R10="","",VLOOKUP(R10,Regras!A2:B15,2,))</f>
        <v/>
      </c>
      <c r="T10" s="25"/>
      <c r="U10" s="25"/>
      <c r="V10" s="25"/>
      <c r="W10" s="25"/>
      <c r="X10" s="25"/>
      <c r="Y10" s="25"/>
      <c r="Z10" s="25"/>
      <c r="AA10" s="25"/>
      <c r="AB10" s="25"/>
      <c r="AC10" s="25"/>
      <c r="AD10" s="25"/>
      <c r="AE10" s="25"/>
      <c r="AF10" s="25"/>
      <c r="AG10" s="25"/>
      <c r="AH10" s="25"/>
      <c r="AI10" s="25"/>
      <c r="AJ10" s="26"/>
    </row>
    <row r="11" ht="15.0" customHeight="1">
      <c r="A11" s="6"/>
      <c r="B11" s="6"/>
      <c r="C11" s="6"/>
      <c r="D11" s="60" t="s">
        <v>162</v>
      </c>
      <c r="E11" s="61"/>
      <c r="F11" s="62">
        <f>ROUNDDOWN(E11/2,0)</f>
        <v>0</v>
      </c>
      <c r="G11" s="60" t="s">
        <v>168</v>
      </c>
      <c r="H11" s="61"/>
      <c r="I11" s="62">
        <f>ROUNDDOWN(H11/2,0)</f>
        <v>0</v>
      </c>
      <c r="J11" s="60" t="s">
        <v>172</v>
      </c>
      <c r="K11" s="61"/>
      <c r="L11" s="62">
        <f>ROUNDDOWN(K11/2,0)</f>
        <v>0</v>
      </c>
      <c r="M11" s="63" t="s">
        <v>176</v>
      </c>
      <c r="N11" s="10"/>
      <c r="O11" s="11"/>
      <c r="P11" s="6"/>
      <c r="Q11" s="59"/>
      <c r="R11" s="36"/>
      <c r="S11" s="37"/>
      <c r="AJ11" s="38"/>
    </row>
    <row r="12" ht="15.75" customHeight="1">
      <c r="A12" s="6"/>
      <c r="B12" s="6"/>
      <c r="C12" s="6"/>
      <c r="D12" s="65"/>
      <c r="E12" s="66"/>
      <c r="F12" s="67">
        <f>ROUNDDOWN(E11/5,0)</f>
        <v>0</v>
      </c>
      <c r="G12" s="65"/>
      <c r="H12" s="66"/>
      <c r="I12" s="67">
        <f>ROUNDDOWN(H11/5,0)</f>
        <v>0</v>
      </c>
      <c r="J12" s="65"/>
      <c r="K12" s="66"/>
      <c r="L12" s="68">
        <f>ROUNDDOWN(K11/5,0)</f>
        <v>0</v>
      </c>
      <c r="M12" s="69" t="s">
        <v>178</v>
      </c>
      <c r="N12" s="70"/>
      <c r="O12" s="71" t="str">
        <f t="array" ref="O12">IFERROR(IFS(AND(2&lt;=E11+E15,E11+E15&lt;=64),"-2",AND(65&lt;=E11+E15,E11+E15&lt;=84),"-1",AND(85&lt;=E11+E15,E11+E15&lt;=124),"",AND(125&lt;=E11+E15,E11+E15&lt;=164),"+1D4",AND(165&lt;=E11+E15,E11+E15&lt;=204),"+1D6",AND(205&lt;=E11+E15,E11+E15&lt;284),"+2D6",AND(285&lt;=E11+E15,E11+E15&lt;=364),"+3D6",AND(365&lt;=E11+E15,E11+E15&lt;=444),"+4D6",AND(445&lt;=E11+E15,E11+E15&lt;=524),"+5D6"),"")</f>
        <v/>
      </c>
      <c r="P12" s="6"/>
      <c r="Q12" s="59"/>
      <c r="R12" s="36"/>
      <c r="S12" s="37"/>
      <c r="AJ12" s="38"/>
    </row>
    <row r="13" ht="15.0" customHeight="1">
      <c r="A13" s="6"/>
      <c r="B13" s="6"/>
      <c r="C13" s="6"/>
      <c r="D13" s="60" t="s">
        <v>179</v>
      </c>
      <c r="E13" s="61"/>
      <c r="F13" s="62">
        <f>ROUNDDOWN(E13/2,0)</f>
        <v>0</v>
      </c>
      <c r="G13" s="60" t="s">
        <v>180</v>
      </c>
      <c r="H13" s="61"/>
      <c r="I13" s="62">
        <f>ROUNDDOWN(H13/2,0)</f>
        <v>0</v>
      </c>
      <c r="J13" s="60" t="s">
        <v>181</v>
      </c>
      <c r="K13" s="61"/>
      <c r="L13" s="72">
        <f>ROUNDDOWN(K13/2,0)</f>
        <v>0</v>
      </c>
      <c r="M13" s="73" t="s">
        <v>182</v>
      </c>
      <c r="N13" s="74"/>
      <c r="O13" s="75" t="str">
        <f t="array" ref="O13">IFERROR((IFS(AND(2&lt;=E11+E15,E11+E15&lt;=64),"-2",AND(65&lt;=E11+E15,E11+E15&lt;=84),"-1",AND(85&lt;=E11+E15,E11+E15&lt;=124),"",AND(125&lt;=E11+E15,E11+E15&lt;=164),"1",AND(165&lt;=E11+E15,E11+E15&lt;=204),"2",AND(205&lt;=E11+E15,E11+E15&lt;284),"3",AND(285&lt;=E11+E15,E11+E15&lt;=364),"4",AND(365&lt;=E11+E15,E11+E15&lt;=444),"5",AND(445&lt;=E11+E15,E11+E15&lt;=524),"6")),"")</f>
        <v/>
      </c>
      <c r="P13" s="6"/>
      <c r="Q13" s="59"/>
      <c r="R13" s="36"/>
      <c r="S13" s="37"/>
      <c r="AJ13" s="38"/>
    </row>
    <row r="14" ht="15.75" customHeight="1">
      <c r="A14" s="6"/>
      <c r="B14" s="6"/>
      <c r="C14" s="6"/>
      <c r="D14" s="65"/>
      <c r="E14" s="66"/>
      <c r="F14" s="67">
        <f>ROUNDDOWN(E13/5,0)</f>
        <v>0</v>
      </c>
      <c r="G14" s="65"/>
      <c r="H14" s="66"/>
      <c r="I14" s="67">
        <f>ROUNDDOWN(H13/5,0)</f>
        <v>0</v>
      </c>
      <c r="J14" s="65"/>
      <c r="K14" s="66"/>
      <c r="L14" s="76">
        <f>ROUNDDOWN(K13/5,0)</f>
        <v>0</v>
      </c>
      <c r="M14" s="77" t="s">
        <v>183</v>
      </c>
      <c r="N14" s="78" t="str">
        <f>J33</f>
        <v/>
      </c>
      <c r="O14" s="79">
        <f>ROUNDDOWN(N14/2,0)</f>
        <v>0</v>
      </c>
      <c r="P14" s="6"/>
      <c r="Q14" s="59"/>
      <c r="R14" s="36"/>
      <c r="S14" s="37"/>
      <c r="AJ14" s="38"/>
    </row>
    <row r="15" ht="15.0" customHeight="1">
      <c r="A15" s="6"/>
      <c r="B15" s="6"/>
      <c r="C15" s="6"/>
      <c r="D15" s="60" t="s">
        <v>184</v>
      </c>
      <c r="E15" s="61"/>
      <c r="F15" s="62">
        <f>ROUNDDOWN(E15/2,0)</f>
        <v>0</v>
      </c>
      <c r="G15" s="60" t="s">
        <v>185</v>
      </c>
      <c r="H15" s="61"/>
      <c r="I15" s="72">
        <f>ROUNDDOWN(H15/2,0)</f>
        <v>0</v>
      </c>
      <c r="J15" s="80" t="s">
        <v>75</v>
      </c>
      <c r="K15" s="81"/>
      <c r="L15" s="82" t="str">
        <f t="array" ref="L15">IFS(AND(40&lt;=D6,D6&lt;=49),P1-1,AND(50&lt;=D6,D6&lt;=59),P1-2,AND(60&lt;=D6,D6&lt;=69),P1-3,AND(70&lt;=D6,D6&lt;=79),P1-4,AND(80&lt;=D6,D6&lt;=90),P1-5,TRUE,P1)</f>
        <v>8</v>
      </c>
      <c r="M15" s="65"/>
      <c r="N15" s="66"/>
      <c r="O15" s="83">
        <f>ROUNDDOWN(N14/5,0)</f>
        <v>0</v>
      </c>
      <c r="P15" s="6"/>
      <c r="Q15" s="59"/>
      <c r="R15" s="36"/>
      <c r="S15" s="37"/>
      <c r="AJ15" s="38"/>
    </row>
    <row r="16" ht="15.75" customHeight="1">
      <c r="A16" s="6"/>
      <c r="B16" s="6"/>
      <c r="C16" s="6"/>
      <c r="D16" s="65"/>
      <c r="E16" s="66"/>
      <c r="F16" s="67">
        <f>ROUNDDOWN(E15/5,0)</f>
        <v>0</v>
      </c>
      <c r="G16" s="65"/>
      <c r="H16" s="66"/>
      <c r="I16" s="68">
        <f>ROUNDDOWN(H15/5,0)</f>
        <v>0</v>
      </c>
      <c r="J16" s="54"/>
      <c r="K16" s="84"/>
      <c r="L16" s="85"/>
      <c r="M16" s="86" t="s">
        <v>63</v>
      </c>
      <c r="N16" s="87"/>
      <c r="O16" s="88"/>
      <c r="P16" s="6"/>
      <c r="Q16" s="59"/>
      <c r="R16" s="55"/>
      <c r="S16" s="56"/>
      <c r="T16" s="57"/>
      <c r="U16" s="57"/>
      <c r="V16" s="57"/>
      <c r="W16" s="57"/>
      <c r="X16" s="57"/>
      <c r="Y16" s="57"/>
      <c r="Z16" s="57"/>
      <c r="AA16" s="57"/>
      <c r="AB16" s="57"/>
      <c r="AC16" s="57"/>
      <c r="AD16" s="57"/>
      <c r="AE16" s="57"/>
      <c r="AF16" s="57"/>
      <c r="AG16" s="57"/>
      <c r="AH16" s="57"/>
      <c r="AI16" s="57"/>
      <c r="AJ16" s="58"/>
    </row>
    <row r="17">
      <c r="A17" s="6"/>
      <c r="B17" s="6"/>
      <c r="C17" s="6"/>
      <c r="D17" s="6"/>
      <c r="E17" s="6"/>
      <c r="F17" s="6"/>
      <c r="G17" s="6"/>
      <c r="H17" s="6"/>
      <c r="I17" s="6"/>
      <c r="J17" s="6"/>
      <c r="K17" s="6"/>
      <c r="L17" s="6"/>
      <c r="M17" s="6"/>
      <c r="N17" s="6"/>
      <c r="O17" s="6"/>
      <c r="P17" s="6"/>
      <c r="Q17" s="6"/>
      <c r="R17" s="6"/>
      <c r="S17" s="6">
        <v>1.0</v>
      </c>
      <c r="T17" s="6"/>
      <c r="U17" s="6"/>
      <c r="V17" s="6"/>
      <c r="W17" s="6"/>
      <c r="X17" s="6"/>
      <c r="Y17" s="6"/>
      <c r="Z17" s="6"/>
      <c r="AA17" s="6"/>
      <c r="AB17" s="6"/>
      <c r="AC17" s="6"/>
      <c r="AD17" s="6"/>
      <c r="AE17" s="6"/>
      <c r="AF17" s="6"/>
      <c r="AG17" s="6"/>
      <c r="AH17" s="6"/>
      <c r="AI17" s="6"/>
      <c r="AJ17" s="6"/>
    </row>
    <row r="18" ht="23.25" customHeight="1">
      <c r="A18" s="6"/>
      <c r="B18" s="9" t="s">
        <v>2</v>
      </c>
      <c r="C18" s="10"/>
      <c r="D18" s="10"/>
      <c r="E18" s="10"/>
      <c r="F18" s="10"/>
      <c r="G18" s="10"/>
      <c r="H18" s="10"/>
      <c r="I18" s="10"/>
      <c r="J18" s="10"/>
      <c r="K18" s="10"/>
      <c r="L18" s="10"/>
      <c r="M18" s="10"/>
      <c r="N18" s="10"/>
      <c r="O18" s="10"/>
      <c r="P18" s="11"/>
      <c r="Q18" s="6"/>
      <c r="R18" s="23"/>
      <c r="S18" s="89" t="str">
        <f t="array" ref="S18">IFS(R18&lt;&gt;"",VLOOKUP(R18,Regras!G:H,2,), R25&lt;&gt;"",VLOOKUP(R25,Regras!G:H,2,), R32&lt;&gt;"",VLOOKUP(R32,Regras!G:H,2,), TRUE,"")</f>
        <v/>
      </c>
      <c r="T18" s="18"/>
      <c r="U18" s="18"/>
      <c r="V18" s="18"/>
      <c r="W18" s="18"/>
      <c r="X18" s="18"/>
      <c r="Y18" s="18"/>
      <c r="Z18" s="18"/>
      <c r="AA18" s="18"/>
      <c r="AB18" s="18"/>
      <c r="AC18" s="18"/>
      <c r="AD18" s="18"/>
      <c r="AE18" s="18"/>
      <c r="AF18" s="18"/>
      <c r="AG18" s="18"/>
      <c r="AH18" s="18"/>
      <c r="AI18" s="18"/>
      <c r="AJ18" s="90"/>
    </row>
    <row r="19">
      <c r="A19" s="6"/>
      <c r="B19" s="91"/>
      <c r="C19" s="92" t="s">
        <v>186</v>
      </c>
      <c r="D19" s="90"/>
      <c r="E19" s="91"/>
      <c r="F19" s="71">
        <f>ROUNDDOWN(E19/2,0)</f>
        <v>0</v>
      </c>
      <c r="G19" s="91"/>
      <c r="H19" s="93" t="s">
        <v>187</v>
      </c>
      <c r="I19" s="90"/>
      <c r="J19" s="94"/>
      <c r="K19" s="71">
        <f>ROUNDDOWN(J19/2,0)</f>
        <v>0</v>
      </c>
      <c r="L19" s="91"/>
      <c r="M19" s="93" t="s">
        <v>188</v>
      </c>
      <c r="N19" s="90"/>
      <c r="O19" s="94"/>
      <c r="P19" s="71">
        <f>ROUNDDOWN(O19/2,0)</f>
        <v>0</v>
      </c>
      <c r="Q19" s="6"/>
      <c r="R19" s="36"/>
      <c r="S19" s="37"/>
      <c r="AJ19" s="38"/>
    </row>
    <row r="20">
      <c r="A20" s="6"/>
      <c r="B20" s="54"/>
      <c r="C20" s="95"/>
      <c r="D20" s="96"/>
      <c r="E20" s="54"/>
      <c r="F20" s="83">
        <f>ROUNDDOWN(E19/5,0)</f>
        <v>0</v>
      </c>
      <c r="G20" s="54"/>
      <c r="H20" s="97"/>
      <c r="I20" s="96"/>
      <c r="J20" s="48"/>
      <c r="K20" s="83">
        <f>ROUNDDOWN(J19/5,0)</f>
        <v>0</v>
      </c>
      <c r="L20" s="54"/>
      <c r="M20" s="97"/>
      <c r="N20" s="96"/>
      <c r="O20" s="48"/>
      <c r="P20" s="83">
        <f>ROUNDDOWN(O19/5,0)</f>
        <v>0</v>
      </c>
      <c r="Q20" s="6"/>
      <c r="R20" s="36"/>
      <c r="S20" s="37"/>
      <c r="AJ20" s="38"/>
    </row>
    <row r="21" ht="15.75" customHeight="1">
      <c r="A21" s="6"/>
      <c r="B21" s="91"/>
      <c r="C21" s="93" t="s">
        <v>189</v>
      </c>
      <c r="D21" s="90"/>
      <c r="E21" s="91"/>
      <c r="F21" s="98">
        <f>ROUNDDOWN(E21/2,0)</f>
        <v>0</v>
      </c>
      <c r="G21" s="91"/>
      <c r="H21" s="93" t="s">
        <v>190</v>
      </c>
      <c r="I21" s="90"/>
      <c r="J21" s="94"/>
      <c r="K21" s="71">
        <f>ROUNDDOWN(J21/2,0)</f>
        <v>0</v>
      </c>
      <c r="L21" s="91"/>
      <c r="M21" s="93" t="s">
        <v>191</v>
      </c>
      <c r="N21" s="90"/>
      <c r="O21" s="94"/>
      <c r="P21" s="71">
        <f>ROUNDDOWN(O21/2,0)</f>
        <v>0</v>
      </c>
      <c r="Q21" s="6"/>
      <c r="R21" s="36"/>
      <c r="S21" s="37"/>
      <c r="AJ21" s="38"/>
    </row>
    <row r="22" ht="15.75" customHeight="1">
      <c r="A22" s="6"/>
      <c r="B22" s="54"/>
      <c r="C22" s="97"/>
      <c r="D22" s="96"/>
      <c r="E22" s="54"/>
      <c r="F22" s="83">
        <f>ROUNDDOWN(E21/5,0)</f>
        <v>0</v>
      </c>
      <c r="G22" s="54"/>
      <c r="H22" s="97"/>
      <c r="I22" s="96"/>
      <c r="J22" s="48"/>
      <c r="K22" s="83">
        <f>ROUNDDOWN(J21/5,0)</f>
        <v>0</v>
      </c>
      <c r="L22" s="54"/>
      <c r="M22" s="97"/>
      <c r="N22" s="96"/>
      <c r="O22" s="48"/>
      <c r="P22" s="83">
        <f>ROUNDDOWN(O21/5,0)</f>
        <v>0</v>
      </c>
      <c r="Q22" s="6"/>
      <c r="R22" s="36"/>
      <c r="S22" s="37"/>
      <c r="AJ22" s="38"/>
    </row>
    <row r="23" ht="15.0" customHeight="1">
      <c r="A23" s="6"/>
      <c r="B23" s="91"/>
      <c r="C23" s="93" t="s">
        <v>192</v>
      </c>
      <c r="D23" s="90"/>
      <c r="E23" s="91"/>
      <c r="F23" s="71">
        <f>ROUNDDOWN(E23/2,0)</f>
        <v>0</v>
      </c>
      <c r="G23" s="91"/>
      <c r="H23" s="93" t="s">
        <v>193</v>
      </c>
      <c r="I23" s="90"/>
      <c r="J23" s="94"/>
      <c r="K23" s="71">
        <f>ROUNDDOWN(J23/2,0)</f>
        <v>0</v>
      </c>
      <c r="L23" s="91"/>
      <c r="M23" s="93" t="s">
        <v>194</v>
      </c>
      <c r="N23" s="90"/>
      <c r="O23" s="94"/>
      <c r="P23" s="71">
        <f>ROUNDDOWN(O23/2,0)</f>
        <v>0</v>
      </c>
      <c r="Q23" s="6"/>
      <c r="R23" s="36"/>
      <c r="S23" s="37"/>
      <c r="AJ23" s="38"/>
    </row>
    <row r="24" ht="15.75" customHeight="1">
      <c r="A24" s="6"/>
      <c r="B24" s="54"/>
      <c r="C24" s="97"/>
      <c r="D24" s="96"/>
      <c r="E24" s="54"/>
      <c r="F24" s="83">
        <f>ROUNDDOWN(E23/5,0)</f>
        <v>0</v>
      </c>
      <c r="G24" s="54"/>
      <c r="H24" s="97"/>
      <c r="I24" s="96"/>
      <c r="J24" s="48"/>
      <c r="K24" s="83">
        <f>ROUNDDOWN(J23/5,0)</f>
        <v>0</v>
      </c>
      <c r="L24" s="54"/>
      <c r="M24" s="97"/>
      <c r="N24" s="96"/>
      <c r="O24" s="48"/>
      <c r="P24" s="83">
        <f>ROUNDDOWN(O23/5,0)</f>
        <v>0</v>
      </c>
      <c r="Q24" s="6"/>
      <c r="R24" s="99"/>
      <c r="S24" s="37"/>
      <c r="AJ24" s="38"/>
    </row>
    <row r="25" ht="15.0" customHeight="1">
      <c r="A25" s="6"/>
      <c r="B25" s="91"/>
      <c r="C25" s="93" t="s">
        <v>195</v>
      </c>
      <c r="D25" s="90"/>
      <c r="E25" s="91"/>
      <c r="F25" s="71">
        <f>ROUNDDOWN(E25/2,0)</f>
        <v>0</v>
      </c>
      <c r="G25" s="91"/>
      <c r="H25" s="93" t="s">
        <v>196</v>
      </c>
      <c r="I25" s="90"/>
      <c r="J25" s="94"/>
      <c r="K25" s="71">
        <f>ROUNDDOWN(J25/2,0)</f>
        <v>0</v>
      </c>
      <c r="L25" s="91"/>
      <c r="M25" s="93" t="s">
        <v>197</v>
      </c>
      <c r="N25" s="90"/>
      <c r="O25" s="94"/>
      <c r="P25" s="71">
        <f>ROUNDDOWN(O25/2,0)</f>
        <v>0</v>
      </c>
      <c r="Q25" s="6"/>
      <c r="R25" s="23"/>
      <c r="S25" s="37"/>
      <c r="AJ25" s="38"/>
    </row>
    <row r="26" ht="15.75" customHeight="1">
      <c r="A26" s="6"/>
      <c r="B26" s="54"/>
      <c r="C26" s="97"/>
      <c r="D26" s="96"/>
      <c r="E26" s="54"/>
      <c r="F26" s="83">
        <f>ROUNDDOWN(E25/5,0)</f>
        <v>0</v>
      </c>
      <c r="G26" s="54"/>
      <c r="H26" s="97"/>
      <c r="I26" s="96"/>
      <c r="J26" s="48"/>
      <c r="K26" s="83">
        <f>ROUNDDOWN(J25/5,0)</f>
        <v>0</v>
      </c>
      <c r="L26" s="54"/>
      <c r="M26" s="97"/>
      <c r="N26" s="96"/>
      <c r="O26" s="48"/>
      <c r="P26" s="83">
        <f>ROUNDDOWN(O25/5,0)</f>
        <v>0</v>
      </c>
      <c r="Q26" s="6"/>
      <c r="R26" s="36"/>
      <c r="S26" s="37"/>
      <c r="AJ26" s="38"/>
    </row>
    <row r="27" ht="15.0" customHeight="1">
      <c r="A27" s="6"/>
      <c r="B27" s="91"/>
      <c r="C27" s="93" t="s">
        <v>198</v>
      </c>
      <c r="D27" s="90"/>
      <c r="E27" s="91"/>
      <c r="F27" s="71">
        <f>ROUNDDOWN(E27/2,0)</f>
        <v>0</v>
      </c>
      <c r="G27" s="91"/>
      <c r="H27" s="93" t="s">
        <v>199</v>
      </c>
      <c r="I27" s="90"/>
      <c r="J27" s="94"/>
      <c r="K27" s="71">
        <f>ROUNDDOWN(J27/2,0)</f>
        <v>0</v>
      </c>
      <c r="L27" s="91"/>
      <c r="M27" s="93" t="s">
        <v>200</v>
      </c>
      <c r="N27" s="90"/>
      <c r="O27" s="94"/>
      <c r="P27" s="71">
        <f>ROUNDDOWN(O27/2,0)</f>
        <v>0</v>
      </c>
      <c r="Q27" s="6"/>
      <c r="R27" s="36"/>
      <c r="S27" s="37"/>
      <c r="AJ27" s="38"/>
    </row>
    <row r="28" ht="15.75" customHeight="1">
      <c r="A28" s="6"/>
      <c r="B28" s="54"/>
      <c r="C28" s="97"/>
      <c r="D28" s="96"/>
      <c r="E28" s="54"/>
      <c r="F28" s="83">
        <f>ROUNDDOWN(E27/5,0)</f>
        <v>0</v>
      </c>
      <c r="G28" s="54"/>
      <c r="H28" s="97"/>
      <c r="I28" s="96"/>
      <c r="J28" s="48"/>
      <c r="K28" s="83">
        <f>ROUNDDOWN(J27/5,0)</f>
        <v>0</v>
      </c>
      <c r="L28" s="54"/>
      <c r="M28" s="97"/>
      <c r="N28" s="96"/>
      <c r="O28" s="48"/>
      <c r="P28" s="83">
        <f>ROUNDDOWN(O27/5,0)</f>
        <v>0</v>
      </c>
      <c r="Q28" s="6"/>
      <c r="R28" s="36"/>
      <c r="S28" s="37"/>
      <c r="AJ28" s="38"/>
    </row>
    <row r="29" ht="15.0" customHeight="1">
      <c r="A29" s="6"/>
      <c r="B29" s="91"/>
      <c r="C29" s="93" t="s">
        <v>201</v>
      </c>
      <c r="D29" s="90"/>
      <c r="E29" s="91"/>
      <c r="F29" s="71">
        <f>ROUNDDOWN(E29/2,0)</f>
        <v>0</v>
      </c>
      <c r="G29" s="91"/>
      <c r="H29" s="93" t="s">
        <v>202</v>
      </c>
      <c r="I29" s="90"/>
      <c r="J29" s="94"/>
      <c r="K29" s="71">
        <f>ROUNDDOWN(J29/2,0)</f>
        <v>0</v>
      </c>
      <c r="L29" s="91"/>
      <c r="M29" s="93" t="s">
        <v>203</v>
      </c>
      <c r="N29" s="90"/>
      <c r="O29" s="94"/>
      <c r="P29" s="71">
        <f>ROUNDDOWN(O29/2,0)</f>
        <v>0</v>
      </c>
      <c r="Q29" s="6"/>
      <c r="R29" s="36"/>
      <c r="S29" s="37"/>
      <c r="AJ29" s="38"/>
    </row>
    <row r="30" ht="15.75" customHeight="1">
      <c r="A30" s="6"/>
      <c r="B30" s="54"/>
      <c r="C30" s="97"/>
      <c r="D30" s="96"/>
      <c r="E30" s="54"/>
      <c r="F30" s="83">
        <f>ROUNDDOWN(E29/5,0)</f>
        <v>0</v>
      </c>
      <c r="G30" s="54"/>
      <c r="H30" s="97"/>
      <c r="I30" s="96"/>
      <c r="J30" s="48"/>
      <c r="K30" s="83">
        <f>ROUNDDOWN(J29/5,0)</f>
        <v>0</v>
      </c>
      <c r="L30" s="54"/>
      <c r="M30" s="97"/>
      <c r="N30" s="96"/>
      <c r="O30" s="48"/>
      <c r="P30" s="83">
        <f>ROUNDDOWN(O29/5,0)</f>
        <v>0</v>
      </c>
      <c r="Q30" s="6"/>
      <c r="R30" s="36"/>
      <c r="S30" s="37"/>
      <c r="AJ30" s="38"/>
    </row>
    <row r="31" ht="15.0" customHeight="1">
      <c r="A31" s="6"/>
      <c r="B31" s="91"/>
      <c r="C31" s="93" t="s">
        <v>204</v>
      </c>
      <c r="D31" s="90"/>
      <c r="E31" s="91"/>
      <c r="F31" s="71">
        <f>ROUNDDOWN(E31/2,0)</f>
        <v>0</v>
      </c>
      <c r="G31" s="91"/>
      <c r="H31" s="93" t="s">
        <v>205</v>
      </c>
      <c r="I31" s="90"/>
      <c r="J31" s="94"/>
      <c r="K31" s="71">
        <f>ROUNDDOWN(J31/2,0)</f>
        <v>0</v>
      </c>
      <c r="L31" s="91"/>
      <c r="M31" s="93" t="s">
        <v>206</v>
      </c>
      <c r="N31" s="90"/>
      <c r="O31" s="94"/>
      <c r="P31" s="71">
        <f>ROUNDDOWN(O31/2,0)</f>
        <v>0</v>
      </c>
      <c r="Q31" s="6"/>
      <c r="R31" s="55"/>
      <c r="S31" s="37"/>
      <c r="AJ31" s="38"/>
    </row>
    <row r="32" ht="15.75" customHeight="1">
      <c r="A32" s="6"/>
      <c r="B32" s="54"/>
      <c r="C32" s="97"/>
      <c r="D32" s="96"/>
      <c r="E32" s="54"/>
      <c r="F32" s="83">
        <f>ROUNDDOWN(E31/5,0)</f>
        <v>0</v>
      </c>
      <c r="G32" s="54"/>
      <c r="H32" s="97"/>
      <c r="I32" s="96"/>
      <c r="J32" s="48"/>
      <c r="K32" s="83">
        <f>ROUNDDOWN(J31/5,0)</f>
        <v>0</v>
      </c>
      <c r="L32" s="54"/>
      <c r="M32" s="97"/>
      <c r="N32" s="96"/>
      <c r="O32" s="48"/>
      <c r="P32" s="83">
        <f>ROUNDDOWN(O31/5,0)</f>
        <v>0</v>
      </c>
      <c r="Q32" s="6"/>
      <c r="R32" s="23"/>
      <c r="S32" s="37"/>
      <c r="AJ32" s="38"/>
    </row>
    <row r="33" ht="15.0" customHeight="1">
      <c r="A33" s="6"/>
      <c r="B33" s="91"/>
      <c r="C33" s="93" t="s">
        <v>207</v>
      </c>
      <c r="D33" s="90"/>
      <c r="E33" s="91"/>
      <c r="F33" s="71">
        <f>ROUNDDOWN(E33/2,0)</f>
        <v>0</v>
      </c>
      <c r="G33" s="91"/>
      <c r="H33" s="93" t="s">
        <v>208</v>
      </c>
      <c r="I33" s="90"/>
      <c r="J33" s="94"/>
      <c r="K33" s="71">
        <f>ROUNDDOWN(J33/2,0)</f>
        <v>0</v>
      </c>
      <c r="L33" s="91"/>
      <c r="M33" s="93" t="s">
        <v>209</v>
      </c>
      <c r="N33" s="90"/>
      <c r="O33" s="94"/>
      <c r="P33" s="71">
        <f>ROUNDDOWN(O33/2,0)</f>
        <v>0</v>
      </c>
      <c r="Q33" s="6"/>
      <c r="R33" s="36"/>
      <c r="S33" s="37"/>
      <c r="AJ33" s="38"/>
    </row>
    <row r="34" ht="15.75" customHeight="1">
      <c r="A34" s="6"/>
      <c r="B34" s="54"/>
      <c r="C34" s="97"/>
      <c r="D34" s="96"/>
      <c r="E34" s="54"/>
      <c r="F34" s="83">
        <f>ROUNDDOWN(E33/5,0)</f>
        <v>0</v>
      </c>
      <c r="G34" s="54"/>
      <c r="H34" s="97"/>
      <c r="I34" s="96"/>
      <c r="J34" s="48"/>
      <c r="K34" s="83">
        <f>ROUNDDOWN(J33/5,0)</f>
        <v>0</v>
      </c>
      <c r="L34" s="54"/>
      <c r="M34" s="97"/>
      <c r="N34" s="96"/>
      <c r="O34" s="48"/>
      <c r="P34" s="83">
        <f>ROUNDDOWN(O33/5,0)</f>
        <v>0</v>
      </c>
      <c r="Q34" s="6"/>
      <c r="R34" s="36"/>
      <c r="S34" s="37"/>
      <c r="AJ34" s="38"/>
    </row>
    <row r="35" ht="15.75" customHeight="1">
      <c r="A35" s="6"/>
      <c r="B35" s="91"/>
      <c r="C35" s="93" t="s">
        <v>210</v>
      </c>
      <c r="D35" s="90"/>
      <c r="E35" s="91"/>
      <c r="F35" s="71">
        <f>ROUNDDOWN(E35/2,0)</f>
        <v>0</v>
      </c>
      <c r="G35" s="91"/>
      <c r="H35" s="93" t="s">
        <v>211</v>
      </c>
      <c r="I35" s="90"/>
      <c r="J35" s="94"/>
      <c r="K35" s="71">
        <f>ROUNDDOWN(J35/2,0)</f>
        <v>0</v>
      </c>
      <c r="L35" s="91"/>
      <c r="M35" s="93" t="s">
        <v>212</v>
      </c>
      <c r="N35" s="90"/>
      <c r="O35" s="94"/>
      <c r="P35" s="71">
        <f>ROUNDDOWN(O35/2,0)</f>
        <v>0</v>
      </c>
      <c r="Q35" s="6"/>
      <c r="R35" s="36"/>
      <c r="S35" s="37"/>
      <c r="AJ35" s="38"/>
    </row>
    <row r="36" ht="15.75" customHeight="1">
      <c r="A36" s="6"/>
      <c r="B36" s="54"/>
      <c r="C36" s="97"/>
      <c r="D36" s="96"/>
      <c r="E36" s="54"/>
      <c r="F36" s="83">
        <f>ROUNDDOWN(E35/5,0)</f>
        <v>0</v>
      </c>
      <c r="G36" s="54"/>
      <c r="H36" s="97"/>
      <c r="I36" s="96"/>
      <c r="J36" s="48"/>
      <c r="K36" s="83">
        <f>ROUNDDOWN(J35/5,0)</f>
        <v>0</v>
      </c>
      <c r="L36" s="54"/>
      <c r="M36" s="97"/>
      <c r="N36" s="96"/>
      <c r="O36" s="48"/>
      <c r="P36" s="83">
        <f>ROUNDDOWN(O35/5,0)</f>
        <v>0</v>
      </c>
      <c r="Q36" s="6"/>
      <c r="R36" s="36"/>
      <c r="S36" s="37"/>
      <c r="AJ36" s="38"/>
    </row>
    <row r="37" ht="15.75" customHeight="1">
      <c r="A37" s="6"/>
      <c r="B37" s="91"/>
      <c r="C37" s="93" t="s">
        <v>213</v>
      </c>
      <c r="D37" s="90"/>
      <c r="E37" s="91"/>
      <c r="F37" s="71">
        <f>ROUNDDOWN(E37/2,0)</f>
        <v>0</v>
      </c>
      <c r="G37" s="91"/>
      <c r="H37" s="93" t="s">
        <v>214</v>
      </c>
      <c r="I37" s="90"/>
      <c r="J37" s="94"/>
      <c r="K37" s="71">
        <f>ROUNDDOWN(J37/2,0)</f>
        <v>0</v>
      </c>
      <c r="L37" s="91"/>
      <c r="M37" s="93" t="s">
        <v>215</v>
      </c>
      <c r="N37" s="90"/>
      <c r="O37" s="94"/>
      <c r="P37" s="71">
        <f>ROUNDDOWN(O37/2,0)</f>
        <v>0</v>
      </c>
      <c r="Q37" s="6"/>
      <c r="R37" s="36"/>
      <c r="S37" s="37"/>
      <c r="AJ37" s="38"/>
    </row>
    <row r="38" ht="15.75" customHeight="1">
      <c r="A38" s="6"/>
      <c r="B38" s="54"/>
      <c r="C38" s="97"/>
      <c r="D38" s="96"/>
      <c r="E38" s="54"/>
      <c r="F38" s="83">
        <f>ROUNDDOWN(E37/5,0)</f>
        <v>0</v>
      </c>
      <c r="G38" s="54"/>
      <c r="H38" s="97"/>
      <c r="I38" s="96"/>
      <c r="J38" s="48"/>
      <c r="K38" s="83">
        <f>ROUNDDOWN(J37/5,0)</f>
        <v>0</v>
      </c>
      <c r="L38" s="54"/>
      <c r="M38" s="97"/>
      <c r="N38" s="96"/>
      <c r="O38" s="48"/>
      <c r="P38" s="83">
        <f>ROUNDDOWN(O37/5,0)</f>
        <v>0</v>
      </c>
      <c r="Q38" s="6"/>
      <c r="R38" s="55"/>
      <c r="S38" s="37"/>
      <c r="AJ38" s="38"/>
    </row>
    <row r="39" ht="15.0" customHeight="1">
      <c r="A39" s="6"/>
      <c r="B39" s="91"/>
      <c r="C39" s="93" t="s">
        <v>216</v>
      </c>
      <c r="D39" s="90"/>
      <c r="E39" s="91"/>
      <c r="F39" s="71">
        <f>ROUNDDOWN(E39/2,0)</f>
        <v>0</v>
      </c>
      <c r="G39" s="91"/>
      <c r="H39" s="93" t="s">
        <v>217</v>
      </c>
      <c r="I39" s="90"/>
      <c r="J39" s="94"/>
      <c r="K39" s="71">
        <f>ROUNDDOWN(J39/2,0)</f>
        <v>0</v>
      </c>
      <c r="L39" s="91"/>
      <c r="M39" s="93" t="s">
        <v>218</v>
      </c>
      <c r="N39" s="90"/>
      <c r="O39" s="94"/>
      <c r="P39" s="71">
        <f>ROUNDDOWN(O39/2,0)</f>
        <v>0</v>
      </c>
      <c r="Q39" s="6"/>
      <c r="R39" s="6"/>
      <c r="S39" s="37"/>
      <c r="AJ39" s="38"/>
    </row>
    <row r="40" ht="15.75" customHeight="1">
      <c r="A40" s="6"/>
      <c r="B40" s="54"/>
      <c r="C40" s="97"/>
      <c r="D40" s="96"/>
      <c r="E40" s="54"/>
      <c r="F40" s="83">
        <f>ROUNDDOWN(E39/5,0)</f>
        <v>0</v>
      </c>
      <c r="G40" s="54"/>
      <c r="H40" s="97"/>
      <c r="I40" s="96"/>
      <c r="J40" s="48"/>
      <c r="K40" s="83">
        <f>ROUNDDOWN(J39/5,0)</f>
        <v>0</v>
      </c>
      <c r="L40" s="54"/>
      <c r="M40" s="97"/>
      <c r="N40" s="96"/>
      <c r="O40" s="48"/>
      <c r="P40" s="83">
        <f>ROUNDDOWN(O39/5,0)</f>
        <v>0</v>
      </c>
      <c r="Q40" s="6"/>
      <c r="R40" s="6" t="s">
        <v>219</v>
      </c>
      <c r="S40" s="37"/>
      <c r="AJ40" s="38"/>
    </row>
    <row r="41" ht="15.0" customHeight="1">
      <c r="A41" s="6"/>
      <c r="B41" s="91"/>
      <c r="C41" s="93" t="s">
        <v>216</v>
      </c>
      <c r="D41" s="90"/>
      <c r="E41" s="91"/>
      <c r="F41" s="71">
        <f>ROUNDDOWN(E41/2,0)</f>
        <v>0</v>
      </c>
      <c r="G41" s="91"/>
      <c r="H41" s="93" t="s">
        <v>220</v>
      </c>
      <c r="I41" s="90"/>
      <c r="J41" s="94"/>
      <c r="K41" s="71">
        <f>ROUNDDOWN(J41/2,0)</f>
        <v>0</v>
      </c>
      <c r="L41" s="91"/>
      <c r="M41" s="93" t="s">
        <v>221</v>
      </c>
      <c r="N41" s="90"/>
      <c r="O41" s="94"/>
      <c r="P41" s="71">
        <f>ROUNDDOWN(O41/2,0)</f>
        <v>0</v>
      </c>
      <c r="Q41" s="6"/>
      <c r="R41" s="6"/>
      <c r="S41" s="37"/>
      <c r="AJ41" s="38"/>
    </row>
    <row r="42" ht="15.75" customHeight="1">
      <c r="A42" s="6"/>
      <c r="B42" s="54"/>
      <c r="C42" s="97"/>
      <c r="D42" s="96"/>
      <c r="E42" s="54"/>
      <c r="F42" s="83">
        <f>ROUNDDOWN(E41/5,0)</f>
        <v>0</v>
      </c>
      <c r="G42" s="54"/>
      <c r="H42" s="97"/>
      <c r="I42" s="96"/>
      <c r="J42" s="48"/>
      <c r="K42" s="83">
        <f>ROUNDDOWN(J41/5,0)</f>
        <v>0</v>
      </c>
      <c r="L42" s="54"/>
      <c r="M42" s="97"/>
      <c r="N42" s="96"/>
      <c r="O42" s="48"/>
      <c r="P42" s="83">
        <f>ROUNDDOWN(O41/5,0)</f>
        <v>0</v>
      </c>
      <c r="Q42" s="6"/>
      <c r="R42" s="6"/>
      <c r="S42" s="37"/>
      <c r="AJ42" s="38"/>
    </row>
    <row r="43" ht="15.0" customHeight="1">
      <c r="A43" s="6"/>
      <c r="B43" s="91"/>
      <c r="C43" s="93" t="s">
        <v>222</v>
      </c>
      <c r="D43" s="90"/>
      <c r="E43" s="91"/>
      <c r="F43" s="71">
        <f>ROUNDDOWN(E43/2,0)</f>
        <v>0</v>
      </c>
      <c r="G43" s="91"/>
      <c r="H43" s="93" t="s">
        <v>223</v>
      </c>
      <c r="I43" s="90"/>
      <c r="J43" s="94"/>
      <c r="K43" s="71">
        <f>ROUNDDOWN(J43/2,0)</f>
        <v>0</v>
      </c>
      <c r="L43" s="91"/>
      <c r="M43" s="93" t="s">
        <v>224</v>
      </c>
      <c r="N43" s="90"/>
      <c r="O43" s="94"/>
      <c r="P43" s="71">
        <f>ROUNDDOWN(O43/2,0)</f>
        <v>0</v>
      </c>
      <c r="Q43" s="6"/>
      <c r="R43" s="6"/>
      <c r="S43" s="37"/>
      <c r="AJ43" s="38"/>
    </row>
    <row r="44" ht="15.75" customHeight="1">
      <c r="A44" s="6"/>
      <c r="B44" s="54"/>
      <c r="C44" s="97"/>
      <c r="D44" s="96"/>
      <c r="E44" s="54"/>
      <c r="F44" s="83">
        <f>ROUNDDOWN(E43/5,0)</f>
        <v>0</v>
      </c>
      <c r="G44" s="54"/>
      <c r="H44" s="97"/>
      <c r="I44" s="96"/>
      <c r="J44" s="48"/>
      <c r="K44" s="83">
        <f>ROUNDDOWN(J43/5,0)</f>
        <v>0</v>
      </c>
      <c r="L44" s="54"/>
      <c r="M44" s="97"/>
      <c r="N44" s="96"/>
      <c r="O44" s="48"/>
      <c r="P44" s="83">
        <f>ROUNDDOWN(O43/5,0)</f>
        <v>0</v>
      </c>
      <c r="Q44" s="6"/>
      <c r="R44" s="6"/>
      <c r="S44" s="37"/>
      <c r="AJ44" s="38"/>
    </row>
    <row r="45" ht="15.0" customHeight="1">
      <c r="A45" s="6"/>
      <c r="B45" s="91"/>
      <c r="C45" s="93" t="s">
        <v>225</v>
      </c>
      <c r="D45" s="90"/>
      <c r="E45" s="91"/>
      <c r="F45" s="71">
        <f>ROUNDDOWN(E45/2,0)</f>
        <v>0</v>
      </c>
      <c r="G45" s="91"/>
      <c r="H45" s="93" t="s">
        <v>226</v>
      </c>
      <c r="I45" s="90"/>
      <c r="J45" s="94"/>
      <c r="K45" s="71">
        <f>ROUNDDOWN(J45/2,0)</f>
        <v>0</v>
      </c>
      <c r="L45" s="91"/>
      <c r="M45" s="93" t="s">
        <v>227</v>
      </c>
      <c r="N45" s="90"/>
      <c r="O45" s="94"/>
      <c r="P45" s="71">
        <f>ROUNDDOWN(O45/2,0)</f>
        <v>0</v>
      </c>
      <c r="Q45" s="6"/>
      <c r="R45" s="6"/>
      <c r="S45" s="37"/>
      <c r="AJ45" s="38"/>
    </row>
    <row r="46" ht="15.75" customHeight="1">
      <c r="A46" s="6"/>
      <c r="B46" s="54"/>
      <c r="C46" s="97"/>
      <c r="D46" s="96"/>
      <c r="E46" s="54"/>
      <c r="F46" s="83">
        <f>ROUNDDOWN(E45/5,0)</f>
        <v>0</v>
      </c>
      <c r="G46" s="54"/>
      <c r="H46" s="97"/>
      <c r="I46" s="96"/>
      <c r="J46" s="48"/>
      <c r="K46" s="83">
        <f>ROUNDDOWN(J45/5,0)</f>
        <v>0</v>
      </c>
      <c r="L46" s="54"/>
      <c r="M46" s="97"/>
      <c r="N46" s="96"/>
      <c r="O46" s="48"/>
      <c r="P46" s="83">
        <f>ROUNDDOWN(O45/5,0)</f>
        <v>0</v>
      </c>
      <c r="Q46" s="6"/>
      <c r="R46" s="6"/>
      <c r="S46" s="37"/>
      <c r="AJ46" s="38"/>
    </row>
    <row r="47" ht="15.0" customHeight="1">
      <c r="A47" s="6"/>
      <c r="B47" s="91"/>
      <c r="C47" s="93" t="s">
        <v>228</v>
      </c>
      <c r="D47" s="90"/>
      <c r="E47" s="91"/>
      <c r="F47" s="71">
        <f>ROUNDDOWN(E47/2,0)</f>
        <v>0</v>
      </c>
      <c r="G47" s="91"/>
      <c r="H47" s="93" t="s">
        <v>229</v>
      </c>
      <c r="I47" s="90"/>
      <c r="J47" s="94"/>
      <c r="K47" s="71">
        <f>ROUNDDOWN(J47/2,0)</f>
        <v>0</v>
      </c>
      <c r="L47" s="91"/>
      <c r="M47" s="93" t="s">
        <v>230</v>
      </c>
      <c r="N47" s="90"/>
      <c r="O47" s="94"/>
      <c r="P47" s="71">
        <f>ROUNDDOWN(O47/2,0)</f>
        <v>0</v>
      </c>
      <c r="Q47" s="6"/>
      <c r="R47" s="6"/>
      <c r="S47" s="37"/>
      <c r="AJ47" s="38"/>
    </row>
    <row r="48" ht="15.75" customHeight="1">
      <c r="A48" s="6"/>
      <c r="B48" s="54"/>
      <c r="C48" s="97"/>
      <c r="D48" s="96"/>
      <c r="E48" s="54"/>
      <c r="F48" s="83">
        <f>ROUNDDOWN(E47/5,0)</f>
        <v>0</v>
      </c>
      <c r="G48" s="54"/>
      <c r="H48" s="97"/>
      <c r="I48" s="96"/>
      <c r="J48" s="48"/>
      <c r="K48" s="83">
        <f>ROUNDDOWN(J47/5,0)</f>
        <v>0</v>
      </c>
      <c r="L48" s="54"/>
      <c r="M48" s="97"/>
      <c r="N48" s="96"/>
      <c r="O48" s="48"/>
      <c r="P48" s="83">
        <f>ROUNDDOWN(O47/5,0)</f>
        <v>0</v>
      </c>
      <c r="Q48" s="6"/>
      <c r="R48" s="6"/>
      <c r="S48" s="37"/>
      <c r="AJ48" s="38"/>
    </row>
    <row r="49" ht="15.0" customHeight="1">
      <c r="A49" s="6"/>
      <c r="B49" s="91"/>
      <c r="C49" s="93" t="s">
        <v>231</v>
      </c>
      <c r="D49" s="90"/>
      <c r="E49" s="91"/>
      <c r="F49" s="71">
        <f>ROUNDDOWN(E49/2,0)</f>
        <v>0</v>
      </c>
      <c r="G49" s="91"/>
      <c r="H49" s="93" t="s">
        <v>232</v>
      </c>
      <c r="I49" s="90"/>
      <c r="J49" s="94"/>
      <c r="K49" s="71">
        <f>ROUNDDOWN(J49/2,0)</f>
        <v>0</v>
      </c>
      <c r="L49" s="91"/>
      <c r="M49" s="93" t="s">
        <v>233</v>
      </c>
      <c r="N49" s="90"/>
      <c r="O49" s="94"/>
      <c r="P49" s="71">
        <f>ROUNDDOWN(O49/2,0)</f>
        <v>0</v>
      </c>
      <c r="Q49" s="6"/>
      <c r="R49" s="6"/>
      <c r="S49" s="37"/>
      <c r="AJ49" s="38"/>
    </row>
    <row r="50" ht="15.75" customHeight="1">
      <c r="A50" s="6"/>
      <c r="B50" s="54"/>
      <c r="C50" s="97"/>
      <c r="D50" s="96"/>
      <c r="E50" s="54"/>
      <c r="F50" s="83">
        <f>ROUNDDOWN(E49/5,0)</f>
        <v>0</v>
      </c>
      <c r="G50" s="54"/>
      <c r="H50" s="97"/>
      <c r="I50" s="96"/>
      <c r="J50" s="48"/>
      <c r="K50" s="83">
        <f>ROUNDDOWN(J49/5,0)</f>
        <v>0</v>
      </c>
      <c r="L50" s="54"/>
      <c r="M50" s="97"/>
      <c r="N50" s="96"/>
      <c r="O50" s="48"/>
      <c r="P50" s="83">
        <f>ROUNDDOWN(O49/5,0)</f>
        <v>0</v>
      </c>
      <c r="Q50" s="6"/>
      <c r="R50" s="6"/>
      <c r="S50" s="37"/>
      <c r="AJ50" s="38"/>
    </row>
    <row r="51" ht="15.0" customHeight="1">
      <c r="A51" s="6"/>
      <c r="B51" s="91"/>
      <c r="C51" s="93" t="s">
        <v>234</v>
      </c>
      <c r="D51" s="90"/>
      <c r="E51" s="91"/>
      <c r="F51" s="71">
        <f>ROUNDDOWN(E51/2,0)</f>
        <v>0</v>
      </c>
      <c r="G51" s="91"/>
      <c r="H51" s="93" t="s">
        <v>235</v>
      </c>
      <c r="I51" s="90"/>
      <c r="J51" s="94"/>
      <c r="K51" s="71">
        <f>ROUNDDOWN(J51/2,0)</f>
        <v>0</v>
      </c>
      <c r="L51" s="91"/>
      <c r="M51" s="93" t="s">
        <v>236</v>
      </c>
      <c r="N51" s="90"/>
      <c r="O51" s="94"/>
      <c r="P51" s="71">
        <f>ROUNDDOWN(O51/2,0)</f>
        <v>0</v>
      </c>
      <c r="Q51" s="6"/>
      <c r="R51" s="6"/>
      <c r="S51" s="37"/>
      <c r="AJ51" s="38"/>
    </row>
    <row r="52" ht="15.75" customHeight="1">
      <c r="A52" s="6"/>
      <c r="B52" s="54"/>
      <c r="C52" s="97"/>
      <c r="D52" s="96"/>
      <c r="E52" s="54"/>
      <c r="F52" s="83">
        <f>ROUNDDOWN(E51/5,0)</f>
        <v>0</v>
      </c>
      <c r="G52" s="54"/>
      <c r="H52" s="97"/>
      <c r="I52" s="96"/>
      <c r="J52" s="48"/>
      <c r="K52" s="83">
        <f>ROUNDDOWN(J51/5,0)</f>
        <v>0</v>
      </c>
      <c r="L52" s="54"/>
      <c r="M52" s="97"/>
      <c r="N52" s="96"/>
      <c r="O52" s="48"/>
      <c r="P52" s="83">
        <f>ROUNDDOWN(O51/5,0)</f>
        <v>0</v>
      </c>
      <c r="Q52" s="6"/>
      <c r="R52" s="6"/>
      <c r="S52" s="37"/>
      <c r="AJ52" s="38"/>
    </row>
    <row r="53" ht="15.0" customHeight="1">
      <c r="A53" s="6"/>
      <c r="B53" s="91"/>
      <c r="C53" s="93" t="s">
        <v>237</v>
      </c>
      <c r="D53" s="90"/>
      <c r="E53" s="91"/>
      <c r="F53" s="71">
        <f>ROUNDDOWN(E53/2,0)</f>
        <v>0</v>
      </c>
      <c r="G53" s="91"/>
      <c r="H53" s="93" t="s">
        <v>238</v>
      </c>
      <c r="I53" s="90"/>
      <c r="J53" s="94"/>
      <c r="K53" s="71">
        <f>ROUNDDOWN(J53/2,0)</f>
        <v>0</v>
      </c>
      <c r="L53" s="91"/>
      <c r="M53" s="93" t="s">
        <v>239</v>
      </c>
      <c r="N53" s="90"/>
      <c r="O53" s="94"/>
      <c r="P53" s="71">
        <f>ROUNDDOWN(O53/2,0)</f>
        <v>0</v>
      </c>
      <c r="Q53" s="6"/>
      <c r="R53" s="6"/>
      <c r="S53" s="37"/>
      <c r="AJ53" s="38"/>
    </row>
    <row r="54" ht="15.75" customHeight="1">
      <c r="A54" s="6"/>
      <c r="B54" s="54"/>
      <c r="C54" s="97"/>
      <c r="D54" s="96"/>
      <c r="E54" s="54"/>
      <c r="F54" s="83">
        <f>ROUNDDOWN(E53/5,0)</f>
        <v>0</v>
      </c>
      <c r="G54" s="54"/>
      <c r="H54" s="97"/>
      <c r="I54" s="96"/>
      <c r="J54" s="48"/>
      <c r="K54" s="83">
        <f>ROUNDDOWN(J53/5,0)</f>
        <v>0</v>
      </c>
      <c r="L54" s="54"/>
      <c r="M54" s="97"/>
      <c r="N54" s="96"/>
      <c r="O54" s="48"/>
      <c r="P54" s="83">
        <f>ROUNDDOWN(O53/5,0)</f>
        <v>0</v>
      </c>
      <c r="Q54" s="6"/>
      <c r="R54" s="6"/>
      <c r="S54" s="37"/>
      <c r="AJ54" s="38"/>
    </row>
    <row r="55" ht="15.0" customHeight="1">
      <c r="A55" s="6"/>
      <c r="B55" s="91"/>
      <c r="C55" s="93" t="s">
        <v>240</v>
      </c>
      <c r="D55" s="90"/>
      <c r="E55" s="91"/>
      <c r="F55" s="71">
        <f>ROUNDDOWN(E55/2,0)</f>
        <v>0</v>
      </c>
      <c r="G55" s="91"/>
      <c r="H55" s="93" t="s">
        <v>241</v>
      </c>
      <c r="I55" s="90"/>
      <c r="J55" s="94"/>
      <c r="K55" s="71">
        <f>ROUNDDOWN(J55/2,0)</f>
        <v>0</v>
      </c>
      <c r="L55" s="91"/>
      <c r="M55" s="93" t="s">
        <v>242</v>
      </c>
      <c r="N55" s="90"/>
      <c r="O55" s="94"/>
      <c r="P55" s="71">
        <f>ROUNDDOWN(O55/2,0)</f>
        <v>0</v>
      </c>
      <c r="Q55" s="6"/>
      <c r="R55" s="6"/>
      <c r="S55" s="37"/>
      <c r="AJ55" s="38"/>
    </row>
    <row r="56" ht="15.75" customHeight="1">
      <c r="A56" s="6"/>
      <c r="B56" s="54"/>
      <c r="C56" s="97"/>
      <c r="D56" s="96"/>
      <c r="E56" s="54"/>
      <c r="F56" s="83">
        <f>ROUNDDOWN(E55/5,0)</f>
        <v>0</v>
      </c>
      <c r="G56" s="54"/>
      <c r="H56" s="97"/>
      <c r="I56" s="96"/>
      <c r="J56" s="48"/>
      <c r="K56" s="83">
        <f>ROUNDDOWN(J55/5,0)</f>
        <v>0</v>
      </c>
      <c r="L56" s="54"/>
      <c r="M56" s="97"/>
      <c r="N56" s="96"/>
      <c r="O56" s="48"/>
      <c r="P56" s="83">
        <f>ROUNDDOWN(O55/5,0)</f>
        <v>0</v>
      </c>
      <c r="Q56" s="6"/>
      <c r="R56" s="6"/>
      <c r="S56" s="37"/>
      <c r="AJ56" s="38"/>
    </row>
    <row r="57" ht="15.0" customHeight="1">
      <c r="A57" s="6"/>
      <c r="B57" s="91"/>
      <c r="C57" s="93" t="s">
        <v>243</v>
      </c>
      <c r="D57" s="90"/>
      <c r="E57" s="91"/>
      <c r="F57" s="71">
        <f>ROUNDDOWN(E57/2,0)</f>
        <v>0</v>
      </c>
      <c r="G57" s="91"/>
      <c r="H57" s="93" t="s">
        <v>244</v>
      </c>
      <c r="I57" s="90"/>
      <c r="J57" s="94"/>
      <c r="K57" s="71">
        <f>ROUNDDOWN(J57/2,0)</f>
        <v>0</v>
      </c>
      <c r="L57" s="91"/>
      <c r="M57" s="93" t="s">
        <v>245</v>
      </c>
      <c r="N57" s="90"/>
      <c r="O57" s="94"/>
      <c r="P57" s="71">
        <f>ROUNDDOWN(O57/2,0)</f>
        <v>0</v>
      </c>
      <c r="Q57" s="6"/>
      <c r="R57" s="6"/>
      <c r="S57" s="37"/>
      <c r="AJ57" s="38"/>
    </row>
    <row r="58" ht="15.75" customHeight="1">
      <c r="A58" s="6"/>
      <c r="B58" s="54"/>
      <c r="C58" s="97"/>
      <c r="D58" s="96"/>
      <c r="E58" s="54"/>
      <c r="F58" s="83">
        <f>ROUNDDOWN(E57/5,0)</f>
        <v>0</v>
      </c>
      <c r="G58" s="54"/>
      <c r="H58" s="97"/>
      <c r="I58" s="96"/>
      <c r="J58" s="48"/>
      <c r="K58" s="83">
        <f>ROUNDDOWN(J57/5,0)</f>
        <v>0</v>
      </c>
      <c r="L58" s="54"/>
      <c r="M58" s="97"/>
      <c r="N58" s="96"/>
      <c r="O58" s="48"/>
      <c r="P58" s="83">
        <f>ROUNDDOWN(O57/5,0)</f>
        <v>0</v>
      </c>
      <c r="Q58" s="6"/>
      <c r="R58" s="6"/>
      <c r="S58" s="37"/>
      <c r="AJ58" s="38"/>
    </row>
    <row r="59" ht="15.75" customHeight="1">
      <c r="A59" s="6"/>
      <c r="B59" s="91"/>
      <c r="C59" s="93" t="s">
        <v>246</v>
      </c>
      <c r="D59" s="90"/>
      <c r="E59" s="91"/>
      <c r="F59" s="71">
        <f>ROUNDDOWN(E59/2,0)</f>
        <v>0</v>
      </c>
      <c r="G59" s="91"/>
      <c r="H59" s="93" t="s">
        <v>247</v>
      </c>
      <c r="I59" s="90"/>
      <c r="J59" s="94"/>
      <c r="K59" s="71">
        <f>ROUNDDOWN(J59/2,0)</f>
        <v>0</v>
      </c>
      <c r="L59" s="91"/>
      <c r="M59" s="93" t="s">
        <v>248</v>
      </c>
      <c r="N59" s="90"/>
      <c r="O59" s="94"/>
      <c r="P59" s="71">
        <f>ROUNDDOWN(O59/2,0)</f>
        <v>0</v>
      </c>
      <c r="Q59" s="6"/>
      <c r="R59" s="6"/>
      <c r="S59" s="37"/>
      <c r="AJ59" s="38"/>
    </row>
    <row r="60" ht="15.75" customHeight="1">
      <c r="A60" s="6"/>
      <c r="B60" s="54"/>
      <c r="C60" s="97"/>
      <c r="D60" s="96"/>
      <c r="E60" s="54"/>
      <c r="F60" s="83">
        <f>ROUNDDOWN(E59/5,0)</f>
        <v>0</v>
      </c>
      <c r="G60" s="54"/>
      <c r="H60" s="97"/>
      <c r="I60" s="96"/>
      <c r="J60" s="48"/>
      <c r="K60" s="83">
        <f>ROUNDDOWN(J59/5,0)</f>
        <v>0</v>
      </c>
      <c r="L60" s="54"/>
      <c r="M60" s="97"/>
      <c r="N60" s="96"/>
      <c r="O60" s="48"/>
      <c r="P60" s="83">
        <f>ROUNDDOWN(O59/5,0)</f>
        <v>0</v>
      </c>
      <c r="Q60" s="6"/>
      <c r="R60" s="6"/>
      <c r="S60" s="37"/>
      <c r="AJ60" s="38"/>
    </row>
    <row r="61" ht="15.75" customHeight="1">
      <c r="A61" s="6"/>
      <c r="B61" s="91"/>
      <c r="C61" s="93" t="s">
        <v>249</v>
      </c>
      <c r="D61" s="90"/>
      <c r="E61" s="91"/>
      <c r="F61" s="71">
        <f>ROUNDDOWN(E61/2,0)</f>
        <v>0</v>
      </c>
      <c r="G61" s="91"/>
      <c r="H61" s="93" t="s">
        <v>250</v>
      </c>
      <c r="I61" s="90"/>
      <c r="J61" s="94"/>
      <c r="K61" s="71">
        <f>ROUNDDOWN(J61/2,0)</f>
        <v>0</v>
      </c>
      <c r="L61" s="91"/>
      <c r="M61" s="93"/>
      <c r="N61" s="90"/>
      <c r="O61" s="94"/>
      <c r="P61" s="71">
        <f>ROUNDDOWN(O61/2,0)</f>
        <v>0</v>
      </c>
      <c r="Q61" s="6"/>
      <c r="R61" s="6"/>
      <c r="S61" s="37"/>
      <c r="AJ61" s="38"/>
    </row>
    <row r="62" ht="15.75" customHeight="1">
      <c r="A62" s="6"/>
      <c r="B62" s="54"/>
      <c r="C62" s="97"/>
      <c r="D62" s="96"/>
      <c r="E62" s="54"/>
      <c r="F62" s="83">
        <f>ROUNDDOWN(E61/5,0)</f>
        <v>0</v>
      </c>
      <c r="G62" s="54"/>
      <c r="H62" s="97"/>
      <c r="I62" s="96"/>
      <c r="J62" s="48"/>
      <c r="K62" s="83">
        <f>ROUNDDOWN(J61/5,0)</f>
        <v>0</v>
      </c>
      <c r="L62" s="54"/>
      <c r="M62" s="97"/>
      <c r="N62" s="96"/>
      <c r="O62" s="48"/>
      <c r="P62" s="83">
        <f>ROUNDDOWN(O61/5,0)</f>
        <v>0</v>
      </c>
      <c r="Q62" s="6"/>
      <c r="R62" s="6"/>
      <c r="S62" s="37"/>
      <c r="AJ62" s="38"/>
    </row>
    <row r="63" ht="15.75" customHeight="1">
      <c r="A63" s="6"/>
      <c r="B63" s="91"/>
      <c r="C63" s="93" t="s">
        <v>251</v>
      </c>
      <c r="D63" s="90"/>
      <c r="E63" s="91"/>
      <c r="F63" s="71">
        <f>ROUNDDOWN(E63/2,0)</f>
        <v>0</v>
      </c>
      <c r="G63" s="91"/>
      <c r="H63" s="93" t="s">
        <v>252</v>
      </c>
      <c r="I63" s="90"/>
      <c r="J63" s="94"/>
      <c r="K63" s="71">
        <f>ROUNDDOWN(J63/2,0)</f>
        <v>0</v>
      </c>
      <c r="L63" s="91"/>
      <c r="M63" s="93"/>
      <c r="N63" s="90"/>
      <c r="O63" s="94"/>
      <c r="P63" s="71">
        <f>ROUNDDOWN(O63/2,0)</f>
        <v>0</v>
      </c>
      <c r="Q63" s="6"/>
      <c r="R63" s="6"/>
      <c r="S63" s="37"/>
      <c r="AJ63" s="38"/>
    </row>
    <row r="64" ht="15.75" customHeight="1">
      <c r="A64" s="6"/>
      <c r="B64" s="54"/>
      <c r="C64" s="97"/>
      <c r="D64" s="96"/>
      <c r="E64" s="54"/>
      <c r="F64" s="83">
        <f>ROUNDDOWN(E63/5,0)</f>
        <v>0</v>
      </c>
      <c r="G64" s="54"/>
      <c r="H64" s="97"/>
      <c r="I64" s="96"/>
      <c r="J64" s="48"/>
      <c r="K64" s="83">
        <f>ROUNDDOWN(J63/5,0)</f>
        <v>0</v>
      </c>
      <c r="L64" s="54"/>
      <c r="M64" s="97"/>
      <c r="N64" s="96"/>
      <c r="O64" s="48"/>
      <c r="P64" s="83">
        <f>ROUNDDOWN(O63/5,0)</f>
        <v>0</v>
      </c>
      <c r="Q64" s="6"/>
      <c r="R64" s="6"/>
      <c r="S64" s="37"/>
      <c r="AJ64" s="38"/>
    </row>
    <row r="65" ht="15.75" customHeight="1">
      <c r="A65" s="6"/>
      <c r="B65" s="6"/>
      <c r="C65" s="6"/>
      <c r="D65" s="6"/>
      <c r="E65" s="6"/>
      <c r="F65" s="6"/>
      <c r="G65" s="6"/>
      <c r="H65" s="6"/>
      <c r="I65" s="6"/>
      <c r="J65" s="6"/>
      <c r="K65" s="6"/>
      <c r="L65" s="6"/>
      <c r="M65" s="6"/>
      <c r="N65" s="6"/>
      <c r="O65" s="6"/>
      <c r="P65" s="6"/>
      <c r="Q65" s="6"/>
      <c r="R65" s="6"/>
      <c r="S65" s="37"/>
      <c r="AJ65" s="38"/>
    </row>
    <row r="66" ht="15.75" customHeight="1">
      <c r="A66" s="6"/>
      <c r="B66" s="6"/>
      <c r="C66" s="6"/>
      <c r="D66" s="9" t="s">
        <v>253</v>
      </c>
      <c r="E66" s="10"/>
      <c r="F66" s="10"/>
      <c r="G66" s="10"/>
      <c r="H66" s="10"/>
      <c r="I66" s="10"/>
      <c r="J66" s="10"/>
      <c r="K66" s="10"/>
      <c r="L66" s="10"/>
      <c r="M66" s="10"/>
      <c r="N66" s="10"/>
      <c r="O66" s="11"/>
      <c r="P66" s="6"/>
      <c r="Q66" s="6"/>
      <c r="R66" s="6"/>
      <c r="S66" s="37"/>
      <c r="AJ66" s="38"/>
    </row>
    <row r="67" ht="15.75" customHeight="1">
      <c r="A67" s="6"/>
      <c r="B67" s="6"/>
      <c r="C67" s="6"/>
      <c r="D67" s="100" t="s">
        <v>253</v>
      </c>
      <c r="E67" s="28"/>
      <c r="F67" s="101" t="s">
        <v>254</v>
      </c>
      <c r="G67" s="101" t="s">
        <v>255</v>
      </c>
      <c r="H67" s="101" t="s">
        <v>256</v>
      </c>
      <c r="I67" s="101" t="s">
        <v>257</v>
      </c>
      <c r="J67" s="101" t="s">
        <v>258</v>
      </c>
      <c r="K67" s="101" t="s">
        <v>259</v>
      </c>
      <c r="L67" s="101" t="s">
        <v>260</v>
      </c>
      <c r="M67" s="101" t="s">
        <v>261</v>
      </c>
      <c r="N67" s="101" t="s">
        <v>262</v>
      </c>
      <c r="O67" s="101" t="s">
        <v>263</v>
      </c>
      <c r="P67" s="6"/>
      <c r="Q67" s="6"/>
      <c r="R67" s="6"/>
      <c r="S67" s="37"/>
      <c r="AJ67" s="38"/>
    </row>
    <row r="68" ht="15.75" customHeight="1">
      <c r="A68" s="6"/>
      <c r="B68" s="6"/>
      <c r="C68" s="6"/>
      <c r="D68" s="102"/>
      <c r="E68" s="87"/>
      <c r="F68" s="103"/>
      <c r="G68" s="104" t="str">
        <f t="array" ref="G68">IFS(F68="Arcos",$E$21,F68="Arremessar",$E$35,F68="Artilharia",$E$41,F68="Briga",$J$51,F68="Chicotes",$J$53,F68="Consertos Elétricos",$E$57,F68="Demolições",$J$19,F68="Espadas",$J$55,F68="Espingardas",$E$29,F68="Lanças",$J$57,F68="Lança-Chamas",$E$23,F68="Machados",$J$59,F68="Manguais",$J$61,F68="MT",$E$25,F68="Pistolas",$E$27,F68="Rifles",$E$29,F68="SMT",$E$31,TRUE,"")</f>
        <v/>
      </c>
      <c r="H68" s="104" t="str">
        <f t="shared" ref="H68:H72" si="1">IF(G68="","",ROUNDDOWN(G68/2,0))</f>
        <v/>
      </c>
      <c r="I68" s="104" t="str">
        <f t="shared" ref="I68:I72" si="2">IF(G68="","",ROUNDDOWN(G68/5,0))</f>
        <v/>
      </c>
      <c r="J68" s="105"/>
      <c r="K68" s="105" t="s">
        <v>264</v>
      </c>
      <c r="L68" s="105"/>
      <c r="M68" s="105" t="s">
        <v>264</v>
      </c>
      <c r="N68" s="105" t="s">
        <v>264</v>
      </c>
      <c r="O68" s="106" t="s">
        <v>264</v>
      </c>
      <c r="P68" s="6"/>
      <c r="Q68" s="6"/>
      <c r="R68" s="6"/>
      <c r="S68" s="37"/>
      <c r="AJ68" s="38"/>
    </row>
    <row r="69" ht="15.75" customHeight="1">
      <c r="A69" s="6"/>
      <c r="B69" s="6"/>
      <c r="C69" s="6"/>
      <c r="D69" s="102"/>
      <c r="E69" s="87"/>
      <c r="F69" s="107"/>
      <c r="G69" s="104" t="str">
        <f t="array" ref="G69">IFS(F69="Arcos",$E$21,F69="Arremessar",$E$35,F69="Artilharia",$E$41,F69="Briga",$J$51,F69="Chicotes",$J$53,F69="Consertos Elétricos",$E$57,F69="Demolições",$J$19,F69="Espadas",$J$55,F69="Espingardas",$E$29,F69="Lanças",$J$57,F69="Lança-Chamas",$E$23,F69="Machados",$J$59,F69="Manguais",$J$61,F69="MT",$E$25,F69="Pistolas",$E$27,F69="Rifles",$E$29,F69="SMT",$E$31,TRUE,"")</f>
        <v/>
      </c>
      <c r="H69" s="108" t="str">
        <f t="shared" si="1"/>
        <v/>
      </c>
      <c r="I69" s="108" t="str">
        <f t="shared" si="2"/>
        <v/>
      </c>
      <c r="J69" s="105"/>
      <c r="K69" s="105"/>
      <c r="L69" s="105"/>
      <c r="M69" s="105"/>
      <c r="N69" s="105"/>
      <c r="O69" s="106"/>
      <c r="P69" s="6"/>
      <c r="Q69" s="6"/>
      <c r="R69" s="6"/>
      <c r="S69" s="37"/>
      <c r="AJ69" s="38"/>
    </row>
    <row r="70" ht="15.75" customHeight="1">
      <c r="A70" s="6"/>
      <c r="B70" s="6"/>
      <c r="C70" s="6"/>
      <c r="D70" s="102"/>
      <c r="E70" s="87"/>
      <c r="F70" s="107"/>
      <c r="G70" s="104" t="str">
        <f t="array" ref="G70">IFS(F70="Arcos",$E$21,F70="Arremessar",$E$35,F70="Artilharia",$E$41,F70="Briga",$J$51,F70="Chicotes",$J$53,F70="Consertos Elétricos",$E$57,F70="Demolições",$J$19,F70="Espadas",$J$55,F70="Espingardas",$E$29,F70="Lanças",$J$57,F70="Lança-Chamas",$E$23,F70="Machados",$J$59,F70="Manguais",$J$61,F70="MT",$E$25,F70="Pistolas",$E$27,F70="Rifles",$E$29,F70="SMT",$E$31,TRUE,"")</f>
        <v/>
      </c>
      <c r="H70" s="108" t="str">
        <f t="shared" si="1"/>
        <v/>
      </c>
      <c r="I70" s="108" t="str">
        <f t="shared" si="2"/>
        <v/>
      </c>
      <c r="J70" s="105"/>
      <c r="K70" s="105"/>
      <c r="L70" s="105"/>
      <c r="M70" s="105"/>
      <c r="N70" s="105"/>
      <c r="O70" s="106"/>
      <c r="P70" s="6"/>
      <c r="Q70" s="6"/>
      <c r="R70" s="6"/>
      <c r="S70" s="37"/>
      <c r="AJ70" s="38"/>
    </row>
    <row r="71" ht="15.75" customHeight="1">
      <c r="A71" s="6"/>
      <c r="B71" s="6"/>
      <c r="C71" s="6"/>
      <c r="D71" s="102"/>
      <c r="E71" s="87"/>
      <c r="F71" s="107"/>
      <c r="G71" s="104" t="str">
        <f t="array" ref="G71">IFS(F71="Arcos",$E$21,F71="Arremessar",$E$35,F71="Artilharia",$E$41,F71="Briga",$J$51,F71="Chicotes",$J$53,F71="Consertos Elétricos",$E$57,F71="Demolições",$J$19,F71="Espadas",$J$55,F71="Espingardas",$E$29,F71="Lanças",$J$57,F71="Lança-Chamas",$E$23,F71="Machados",$J$59,F71="Manguais",$J$61,F71="MT",$E$25,F71="Pistolas",$E$27,F71="Rifles",$E$29,F71="SMT",$E$31,TRUE,"")</f>
        <v/>
      </c>
      <c r="H71" s="108" t="str">
        <f t="shared" si="1"/>
        <v/>
      </c>
      <c r="I71" s="108" t="str">
        <f t="shared" si="2"/>
        <v/>
      </c>
      <c r="J71" s="105"/>
      <c r="K71" s="105"/>
      <c r="L71" s="105"/>
      <c r="M71" s="105"/>
      <c r="N71" s="105"/>
      <c r="O71" s="106"/>
      <c r="P71" s="6"/>
      <c r="Q71" s="6"/>
      <c r="R71" s="6"/>
      <c r="S71" s="37"/>
      <c r="AJ71" s="38"/>
    </row>
    <row r="72" ht="15.75" customHeight="1">
      <c r="A72" s="6"/>
      <c r="B72" s="6"/>
      <c r="C72" s="6"/>
      <c r="D72" s="102"/>
      <c r="E72" s="87"/>
      <c r="F72" s="107"/>
      <c r="G72" s="104" t="str">
        <f t="array" ref="G72">IFS(F72="Arcos",$E$21,F72="Arremessar",$E$35,F72="Artilharia",$E$41,F72="Briga",$J$51,F72="Chicotes",$J$53,F72="Consertos Elétricos",$E$57,F72="Demolições",$J$19,F72="Espadas",$J$55,F72="Espingardas",$E$29,F72="Lanças",$J$57,F72="Lança-Chamas",$E$23,F72="Machados",$J$59,F72="Manguais",$J$61,F72="MT",$E$25,F72="Pistolas",$E$27,F72="Rifles",$E$29,F72="SMT",$E$31,TRUE,"")</f>
        <v/>
      </c>
      <c r="H72" s="108" t="str">
        <f t="shared" si="1"/>
        <v/>
      </c>
      <c r="I72" s="108" t="str">
        <f t="shared" si="2"/>
        <v/>
      </c>
      <c r="J72" s="105"/>
      <c r="K72" s="105"/>
      <c r="L72" s="105"/>
      <c r="M72" s="105"/>
      <c r="N72" s="105"/>
      <c r="O72" s="106"/>
      <c r="P72" s="6"/>
      <c r="Q72" s="6"/>
      <c r="R72" s="6"/>
      <c r="S72" s="37"/>
      <c r="AJ72" s="38"/>
    </row>
    <row r="73" ht="15.75" customHeight="1">
      <c r="A73" s="6"/>
      <c r="B73" s="6"/>
      <c r="C73" s="6"/>
      <c r="D73" s="6"/>
      <c r="E73" s="6"/>
      <c r="F73" s="6"/>
      <c r="G73" s="6"/>
      <c r="H73" s="6"/>
      <c r="I73" s="6"/>
      <c r="J73" s="6"/>
      <c r="K73" s="6"/>
      <c r="L73" s="6"/>
      <c r="M73" s="6"/>
      <c r="N73" s="6"/>
      <c r="O73" s="6"/>
      <c r="P73" s="6"/>
      <c r="Q73" s="6"/>
      <c r="R73" s="6"/>
      <c r="S73" s="37"/>
      <c r="AJ73" s="38"/>
    </row>
    <row r="74" ht="15.75" customHeight="1">
      <c r="A74" s="6"/>
      <c r="B74" s="6"/>
      <c r="C74" s="6"/>
      <c r="D74" s="6"/>
      <c r="E74" s="6"/>
      <c r="F74" s="6"/>
      <c r="G74" s="6"/>
      <c r="H74" s="6"/>
      <c r="I74" s="6"/>
      <c r="J74" s="6"/>
      <c r="K74" s="6"/>
      <c r="L74" s="6"/>
      <c r="M74" s="6"/>
      <c r="N74" s="6"/>
      <c r="O74" s="6"/>
      <c r="P74" s="6"/>
      <c r="Q74" s="6"/>
      <c r="R74" s="6"/>
      <c r="S74" s="37"/>
      <c r="AJ74" s="38"/>
    </row>
    <row r="75" ht="15.75" customHeight="1">
      <c r="A75" s="6"/>
      <c r="B75" s="6"/>
      <c r="C75" s="6"/>
      <c r="D75" s="6"/>
      <c r="E75" s="6"/>
      <c r="F75" s="6"/>
      <c r="G75" s="6"/>
      <c r="H75" s="6"/>
      <c r="I75" s="6"/>
      <c r="J75" s="6"/>
      <c r="K75" s="6"/>
      <c r="L75" s="6"/>
      <c r="M75" s="6"/>
      <c r="N75" s="6"/>
      <c r="O75" s="6"/>
      <c r="P75" s="6"/>
      <c r="Q75" s="6"/>
      <c r="R75" s="6"/>
      <c r="S75" s="56"/>
      <c r="T75" s="57"/>
      <c r="U75" s="57"/>
      <c r="V75" s="57"/>
      <c r="W75" s="57"/>
      <c r="X75" s="57"/>
      <c r="Y75" s="57"/>
      <c r="Z75" s="57"/>
      <c r="AA75" s="57"/>
      <c r="AB75" s="57"/>
      <c r="AC75" s="57"/>
      <c r="AD75" s="57"/>
      <c r="AE75" s="57"/>
      <c r="AF75" s="57"/>
      <c r="AG75" s="57"/>
      <c r="AH75" s="57"/>
      <c r="AI75" s="57"/>
      <c r="AJ75" s="58"/>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row>
    <row r="77" ht="15.75" customHeight="1">
      <c r="A77" s="6"/>
      <c r="B77" s="9" t="s">
        <v>265</v>
      </c>
      <c r="C77" s="10"/>
      <c r="D77" s="10"/>
      <c r="E77" s="10"/>
      <c r="F77" s="10"/>
      <c r="G77" s="10"/>
      <c r="H77" s="10"/>
      <c r="I77" s="10"/>
      <c r="J77" s="10"/>
      <c r="K77" s="10"/>
      <c r="L77" s="10"/>
      <c r="M77" s="10"/>
      <c r="N77" s="10"/>
      <c r="O77" s="10"/>
      <c r="P77" s="11"/>
      <c r="Q77" s="6"/>
      <c r="R77" s="23"/>
      <c r="S77" s="109" t="str">
        <f>IF(R77="","",VLOOKUP(R77,Regras!K:L,2,))</f>
        <v/>
      </c>
      <c r="T77" s="25"/>
      <c r="U77" s="25"/>
      <c r="V77" s="25"/>
      <c r="W77" s="25"/>
      <c r="X77" s="25"/>
      <c r="Y77" s="25"/>
      <c r="Z77" s="25"/>
      <c r="AA77" s="25"/>
      <c r="AB77" s="25"/>
      <c r="AC77" s="25"/>
      <c r="AD77" s="25"/>
      <c r="AE77" s="25"/>
      <c r="AF77" s="25"/>
      <c r="AG77" s="25"/>
      <c r="AH77" s="25"/>
      <c r="AI77" s="25"/>
      <c r="AJ77" s="26"/>
    </row>
    <row r="78" ht="15.75" customHeight="1">
      <c r="A78" s="6"/>
      <c r="B78" s="110" t="s">
        <v>266</v>
      </c>
      <c r="C78" s="10"/>
      <c r="D78" s="10"/>
      <c r="E78" s="10"/>
      <c r="F78" s="10"/>
      <c r="G78" s="10"/>
      <c r="H78" s="11"/>
      <c r="I78" s="6"/>
      <c r="J78" s="110" t="s">
        <v>267</v>
      </c>
      <c r="K78" s="10"/>
      <c r="L78" s="10"/>
      <c r="M78" s="10"/>
      <c r="N78" s="10"/>
      <c r="O78" s="10"/>
      <c r="P78" s="11"/>
      <c r="Q78" s="6"/>
      <c r="R78" s="36"/>
      <c r="S78" s="37"/>
      <c r="AJ78" s="38"/>
    </row>
    <row r="79" ht="15.0" customHeight="1">
      <c r="A79" s="6"/>
      <c r="B79" s="111"/>
      <c r="C79" s="18"/>
      <c r="D79" s="18"/>
      <c r="E79" s="18"/>
      <c r="F79" s="18"/>
      <c r="G79" s="18"/>
      <c r="H79" s="19"/>
      <c r="I79" s="6"/>
      <c r="J79" s="111"/>
      <c r="K79" s="18"/>
      <c r="L79" s="18"/>
      <c r="M79" s="18"/>
      <c r="N79" s="18"/>
      <c r="O79" s="18"/>
      <c r="P79" s="19"/>
      <c r="Q79" s="6"/>
      <c r="R79" s="36"/>
      <c r="S79" s="37"/>
      <c r="AJ79" s="38"/>
    </row>
    <row r="80" ht="15.75" customHeight="1">
      <c r="A80" s="6"/>
      <c r="B80" s="35"/>
      <c r="H80" s="30"/>
      <c r="I80" s="6"/>
      <c r="J80" s="35"/>
      <c r="P80" s="30"/>
      <c r="Q80" s="6"/>
      <c r="R80" s="36"/>
      <c r="S80" s="37"/>
      <c r="AJ80" s="38"/>
    </row>
    <row r="81" ht="15.75" customHeight="1">
      <c r="A81" s="6"/>
      <c r="B81" s="54"/>
      <c r="C81" s="48"/>
      <c r="D81" s="48"/>
      <c r="E81" s="48"/>
      <c r="F81" s="48"/>
      <c r="G81" s="48"/>
      <c r="H81" s="49"/>
      <c r="I81" s="6"/>
      <c r="J81" s="54"/>
      <c r="K81" s="48"/>
      <c r="L81" s="48"/>
      <c r="M81" s="48"/>
      <c r="N81" s="48"/>
      <c r="O81" s="48"/>
      <c r="P81" s="49"/>
      <c r="Q81" s="6"/>
      <c r="R81" s="36"/>
      <c r="S81" s="37"/>
      <c r="AJ81" s="38"/>
    </row>
    <row r="82" ht="15.75" customHeight="1">
      <c r="A82" s="6"/>
      <c r="B82" s="110" t="s">
        <v>268</v>
      </c>
      <c r="C82" s="10"/>
      <c r="D82" s="10"/>
      <c r="E82" s="10"/>
      <c r="F82" s="10"/>
      <c r="G82" s="10"/>
      <c r="H82" s="11"/>
      <c r="I82" s="6"/>
      <c r="J82" s="110" t="s">
        <v>269</v>
      </c>
      <c r="K82" s="10"/>
      <c r="L82" s="10"/>
      <c r="M82" s="10"/>
      <c r="N82" s="10"/>
      <c r="O82" s="10"/>
      <c r="P82" s="11"/>
      <c r="Q82" s="6"/>
      <c r="R82" s="55"/>
      <c r="S82" s="37"/>
      <c r="AJ82" s="38"/>
    </row>
    <row r="83" ht="15.75" customHeight="1">
      <c r="A83" s="6"/>
      <c r="B83" s="111"/>
      <c r="C83" s="18"/>
      <c r="D83" s="18"/>
      <c r="E83" s="18"/>
      <c r="F83" s="18"/>
      <c r="G83" s="18"/>
      <c r="H83" s="19"/>
      <c r="I83" s="6"/>
      <c r="J83" s="111"/>
      <c r="K83" s="18"/>
      <c r="L83" s="18"/>
      <c r="M83" s="18"/>
      <c r="N83" s="18"/>
      <c r="O83" s="18"/>
      <c r="P83" s="19"/>
      <c r="Q83" s="6"/>
      <c r="R83" s="6" t="s">
        <v>270</v>
      </c>
      <c r="S83" s="37"/>
      <c r="AJ83" s="38"/>
    </row>
    <row r="84" ht="15.75" customHeight="1">
      <c r="A84" s="6"/>
      <c r="B84" s="35"/>
      <c r="H84" s="30"/>
      <c r="I84" s="6"/>
      <c r="J84" s="35"/>
      <c r="P84" s="30"/>
      <c r="Q84" s="6"/>
      <c r="R84" s="6"/>
      <c r="S84" s="37"/>
      <c r="AJ84" s="38"/>
    </row>
    <row r="85" ht="15.75" customHeight="1">
      <c r="A85" s="6"/>
      <c r="B85" s="54"/>
      <c r="C85" s="48"/>
      <c r="D85" s="48"/>
      <c r="E85" s="48"/>
      <c r="F85" s="48"/>
      <c r="G85" s="48"/>
      <c r="H85" s="49"/>
      <c r="I85" s="6"/>
      <c r="J85" s="54"/>
      <c r="K85" s="48"/>
      <c r="L85" s="48"/>
      <c r="M85" s="48"/>
      <c r="N85" s="48"/>
      <c r="O85" s="48"/>
      <c r="P85" s="49"/>
      <c r="Q85" s="6"/>
      <c r="R85" s="6"/>
      <c r="S85" s="37"/>
      <c r="AJ85" s="38"/>
    </row>
    <row r="86" ht="15.75" customHeight="1">
      <c r="A86" s="6"/>
      <c r="B86" s="110" t="s">
        <v>268</v>
      </c>
      <c r="C86" s="10"/>
      <c r="D86" s="10"/>
      <c r="E86" s="10"/>
      <c r="F86" s="10"/>
      <c r="G86" s="10"/>
      <c r="H86" s="11"/>
      <c r="I86" s="6"/>
      <c r="J86" s="110" t="s">
        <v>269</v>
      </c>
      <c r="K86" s="10"/>
      <c r="L86" s="10"/>
      <c r="M86" s="10"/>
      <c r="N86" s="10"/>
      <c r="O86" s="10"/>
      <c r="P86" s="11"/>
      <c r="Q86" s="6"/>
      <c r="R86" s="6"/>
      <c r="S86" s="37"/>
      <c r="AJ86" s="38"/>
    </row>
    <row r="87" ht="15.75" customHeight="1">
      <c r="A87" s="6"/>
      <c r="B87" s="112"/>
      <c r="H87" s="30"/>
      <c r="I87" s="6"/>
      <c r="J87" s="112"/>
      <c r="P87" s="30"/>
      <c r="Q87" s="6"/>
      <c r="R87" s="6"/>
      <c r="S87" s="37"/>
      <c r="AJ87" s="38"/>
    </row>
    <row r="88" ht="15.75" customHeight="1">
      <c r="A88" s="6"/>
      <c r="B88" s="35"/>
      <c r="H88" s="30"/>
      <c r="I88" s="6"/>
      <c r="J88" s="35"/>
      <c r="P88" s="30"/>
      <c r="Q88" s="6"/>
      <c r="R88" s="6"/>
      <c r="S88" s="37"/>
      <c r="AJ88" s="38"/>
    </row>
    <row r="89" ht="15.75" customHeight="1">
      <c r="A89" s="6"/>
      <c r="B89" s="54"/>
      <c r="C89" s="48"/>
      <c r="D89" s="48"/>
      <c r="E89" s="48"/>
      <c r="F89" s="48"/>
      <c r="G89" s="48"/>
      <c r="H89" s="49"/>
      <c r="I89" s="6"/>
      <c r="J89" s="54"/>
      <c r="K89" s="48"/>
      <c r="L89" s="48"/>
      <c r="M89" s="48"/>
      <c r="N89" s="48"/>
      <c r="O89" s="48"/>
      <c r="P89" s="49"/>
      <c r="Q89" s="6"/>
      <c r="R89" s="6"/>
      <c r="S89" s="37"/>
      <c r="AJ89" s="38"/>
    </row>
    <row r="90" ht="15.75" customHeight="1">
      <c r="A90" s="6"/>
      <c r="B90" s="110" t="s">
        <v>271</v>
      </c>
      <c r="C90" s="10"/>
      <c r="D90" s="10"/>
      <c r="E90" s="10"/>
      <c r="F90" s="10"/>
      <c r="G90" s="10"/>
      <c r="H90" s="11"/>
      <c r="I90" s="6"/>
      <c r="J90" s="110" t="s">
        <v>272</v>
      </c>
      <c r="K90" s="10"/>
      <c r="L90" s="10"/>
      <c r="M90" s="10"/>
      <c r="N90" s="10"/>
      <c r="O90" s="10"/>
      <c r="P90" s="11"/>
      <c r="Q90" s="6"/>
      <c r="R90" s="6"/>
      <c r="S90" s="37"/>
      <c r="AJ90" s="38"/>
    </row>
    <row r="91" ht="15.75" customHeight="1">
      <c r="A91" s="6"/>
      <c r="B91" s="111"/>
      <c r="C91" s="18"/>
      <c r="D91" s="18"/>
      <c r="E91" s="18"/>
      <c r="F91" s="18"/>
      <c r="G91" s="18"/>
      <c r="H91" s="19"/>
      <c r="I91" s="6"/>
      <c r="J91" s="111"/>
      <c r="K91" s="18"/>
      <c r="L91" s="18"/>
      <c r="M91" s="18"/>
      <c r="N91" s="18"/>
      <c r="O91" s="18"/>
      <c r="P91" s="19"/>
      <c r="Q91" s="6"/>
      <c r="R91" s="6"/>
      <c r="S91" s="37"/>
      <c r="AJ91" s="38"/>
    </row>
    <row r="92" ht="15.75" customHeight="1">
      <c r="A92" s="6"/>
      <c r="B92" s="35"/>
      <c r="H92" s="30"/>
      <c r="I92" s="6"/>
      <c r="J92" s="35"/>
      <c r="P92" s="30"/>
      <c r="Q92" s="6"/>
      <c r="R92" s="6"/>
      <c r="S92" s="37"/>
      <c r="AJ92" s="38"/>
    </row>
    <row r="93" ht="15.75" customHeight="1">
      <c r="A93" s="6"/>
      <c r="B93" s="54"/>
      <c r="C93" s="48"/>
      <c r="D93" s="48"/>
      <c r="E93" s="48"/>
      <c r="F93" s="48"/>
      <c r="G93" s="48"/>
      <c r="H93" s="49"/>
      <c r="I93" s="6"/>
      <c r="J93" s="54"/>
      <c r="K93" s="48"/>
      <c r="L93" s="48"/>
      <c r="M93" s="48"/>
      <c r="N93" s="48"/>
      <c r="O93" s="48"/>
      <c r="P93" s="49"/>
      <c r="Q93" s="6"/>
      <c r="R93" s="6"/>
      <c r="S93" s="37"/>
      <c r="AJ93" s="38"/>
    </row>
    <row r="94" ht="15.75" customHeight="1">
      <c r="A94" s="6"/>
      <c r="B94" s="110" t="s">
        <v>273</v>
      </c>
      <c r="C94" s="10"/>
      <c r="D94" s="10"/>
      <c r="E94" s="10"/>
      <c r="F94" s="10"/>
      <c r="G94" s="10"/>
      <c r="H94" s="11"/>
      <c r="I94" s="6"/>
      <c r="J94" s="110" t="s">
        <v>274</v>
      </c>
      <c r="K94" s="10"/>
      <c r="L94" s="10"/>
      <c r="M94" s="10"/>
      <c r="N94" s="10"/>
      <c r="O94" s="10"/>
      <c r="P94" s="11"/>
      <c r="Q94" s="6"/>
      <c r="R94" s="6"/>
      <c r="S94" s="37"/>
      <c r="AJ94" s="38"/>
    </row>
    <row r="95" ht="15.75" customHeight="1">
      <c r="A95" s="6"/>
      <c r="B95" s="111"/>
      <c r="C95" s="18"/>
      <c r="D95" s="18"/>
      <c r="E95" s="18"/>
      <c r="F95" s="18"/>
      <c r="G95" s="18"/>
      <c r="H95" s="19"/>
      <c r="I95" s="6"/>
      <c r="J95" s="111"/>
      <c r="K95" s="18"/>
      <c r="L95" s="18"/>
      <c r="M95" s="18"/>
      <c r="N95" s="18"/>
      <c r="O95" s="18"/>
      <c r="P95" s="19"/>
      <c r="Q95" s="6"/>
      <c r="R95" s="6"/>
      <c r="S95" s="37"/>
      <c r="AJ95" s="38"/>
    </row>
    <row r="96" ht="15.75" customHeight="1">
      <c r="A96" s="6"/>
      <c r="B96" s="35"/>
      <c r="H96" s="30"/>
      <c r="I96" s="6"/>
      <c r="J96" s="35"/>
      <c r="P96" s="30"/>
      <c r="Q96" s="6"/>
      <c r="R96" s="6"/>
      <c r="S96" s="37"/>
      <c r="AJ96" s="38"/>
    </row>
    <row r="97" ht="15.75" customHeight="1">
      <c r="A97" s="6"/>
      <c r="B97" s="54"/>
      <c r="C97" s="48"/>
      <c r="D97" s="48"/>
      <c r="E97" s="48"/>
      <c r="F97" s="48"/>
      <c r="G97" s="48"/>
      <c r="H97" s="49"/>
      <c r="I97" s="6"/>
      <c r="J97" s="54"/>
      <c r="K97" s="48"/>
      <c r="L97" s="48"/>
      <c r="M97" s="48"/>
      <c r="N97" s="48"/>
      <c r="O97" s="48"/>
      <c r="P97" s="49"/>
      <c r="Q97" s="6"/>
      <c r="R97" s="6"/>
      <c r="S97" s="37"/>
      <c r="AJ97" s="38"/>
    </row>
    <row r="98" ht="15.75" customHeight="1">
      <c r="A98" s="6"/>
      <c r="B98" s="110" t="s">
        <v>275</v>
      </c>
      <c r="C98" s="10"/>
      <c r="D98" s="10"/>
      <c r="E98" s="10"/>
      <c r="F98" s="10"/>
      <c r="G98" s="10"/>
      <c r="H98" s="11"/>
      <c r="I98" s="6"/>
      <c r="J98" s="110" t="s">
        <v>276</v>
      </c>
      <c r="K98" s="10"/>
      <c r="L98" s="10"/>
      <c r="M98" s="10"/>
      <c r="N98" s="10"/>
      <c r="O98" s="10"/>
      <c r="P98" s="11"/>
      <c r="Q98" s="6"/>
      <c r="R98" s="6"/>
      <c r="S98" s="37"/>
      <c r="AJ98" s="38"/>
    </row>
    <row r="99" ht="15.75" customHeight="1">
      <c r="A99" s="6"/>
      <c r="B99" s="112"/>
      <c r="H99" s="30"/>
      <c r="I99" s="6"/>
      <c r="J99" s="112"/>
      <c r="P99" s="30"/>
      <c r="Q99" s="6"/>
      <c r="R99" s="6"/>
      <c r="S99" s="56"/>
      <c r="T99" s="57"/>
      <c r="U99" s="57"/>
      <c r="V99" s="57"/>
      <c r="W99" s="57"/>
      <c r="X99" s="57"/>
      <c r="Y99" s="57"/>
      <c r="Z99" s="57"/>
      <c r="AA99" s="57"/>
      <c r="AB99" s="57"/>
      <c r="AC99" s="57"/>
      <c r="AD99" s="57"/>
      <c r="AE99" s="57"/>
      <c r="AF99" s="57"/>
      <c r="AG99" s="57"/>
      <c r="AH99" s="57"/>
      <c r="AI99" s="57"/>
      <c r="AJ99" s="58"/>
    </row>
    <row r="100" ht="15.75" customHeight="1">
      <c r="A100" s="6"/>
      <c r="B100" s="35"/>
      <c r="H100" s="30"/>
      <c r="I100" s="6"/>
      <c r="J100" s="35"/>
      <c r="P100" s="30"/>
      <c r="Q100" s="6"/>
      <c r="R100" s="6"/>
      <c r="S100" s="113"/>
      <c r="T100" s="113"/>
      <c r="U100" s="113"/>
      <c r="V100" s="113"/>
      <c r="W100" s="113"/>
      <c r="X100" s="113"/>
      <c r="Y100" s="113"/>
      <c r="Z100" s="113"/>
      <c r="AA100" s="113"/>
      <c r="AB100" s="113"/>
      <c r="AC100" s="113"/>
      <c r="AD100" s="113"/>
      <c r="AE100" s="113"/>
      <c r="AF100" s="113"/>
      <c r="AG100" s="113"/>
      <c r="AH100" s="113"/>
      <c r="AI100" s="113"/>
      <c r="AJ100" s="113"/>
    </row>
    <row r="101" ht="15.75" customHeight="1">
      <c r="A101" s="6"/>
      <c r="B101" s="54"/>
      <c r="C101" s="48"/>
      <c r="D101" s="48"/>
      <c r="E101" s="48"/>
      <c r="F101" s="48"/>
      <c r="G101" s="48"/>
      <c r="H101" s="49"/>
      <c r="I101" s="6"/>
      <c r="J101" s="54"/>
      <c r="K101" s="48"/>
      <c r="L101" s="48"/>
      <c r="M101" s="48"/>
      <c r="N101" s="48"/>
      <c r="O101" s="48"/>
      <c r="P101" s="49"/>
      <c r="Q101" s="6"/>
      <c r="R101" s="6"/>
      <c r="S101" s="113"/>
      <c r="T101" s="113"/>
      <c r="U101" s="113"/>
      <c r="V101" s="113"/>
      <c r="W101" s="113"/>
      <c r="X101" s="113"/>
      <c r="Y101" s="113"/>
      <c r="Z101" s="113"/>
      <c r="AA101" s="113"/>
      <c r="AB101" s="113"/>
      <c r="AC101" s="113"/>
      <c r="AD101" s="113"/>
      <c r="AE101" s="113"/>
      <c r="AF101" s="113"/>
      <c r="AG101" s="113"/>
      <c r="AH101" s="113"/>
      <c r="AI101" s="113"/>
      <c r="AJ101" s="113"/>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row>
    <row r="103" ht="23.25" customHeight="1">
      <c r="A103" s="6"/>
      <c r="B103" s="9" t="s">
        <v>277</v>
      </c>
      <c r="C103" s="10"/>
      <c r="D103" s="10"/>
      <c r="E103" s="10"/>
      <c r="F103" s="10"/>
      <c r="G103" s="10"/>
      <c r="H103" s="11"/>
      <c r="I103" s="6"/>
      <c r="J103" s="114" t="s">
        <v>278</v>
      </c>
      <c r="K103" s="10"/>
      <c r="L103" s="10"/>
      <c r="M103" s="10"/>
      <c r="N103" s="10"/>
      <c r="O103" s="10"/>
      <c r="P103" s="11"/>
      <c r="Q103" s="6"/>
      <c r="R103" s="23"/>
      <c r="S103" s="109" t="str">
        <f>IF(R103="","",VLOOKUP(R103,Regras!I:J,2,))</f>
        <v/>
      </c>
      <c r="T103" s="25"/>
      <c r="U103" s="25"/>
      <c r="V103" s="25"/>
      <c r="W103" s="25"/>
      <c r="X103" s="25"/>
      <c r="Y103" s="25"/>
      <c r="Z103" s="25"/>
      <c r="AA103" s="25"/>
      <c r="AB103" s="25"/>
      <c r="AC103" s="25"/>
      <c r="AD103" s="25"/>
      <c r="AE103" s="25"/>
      <c r="AF103" s="25"/>
      <c r="AG103" s="25"/>
      <c r="AH103" s="25"/>
      <c r="AI103" s="25"/>
      <c r="AJ103" s="26"/>
    </row>
    <row r="104" ht="15.75" customHeight="1">
      <c r="A104" s="6"/>
      <c r="B104" s="115"/>
      <c r="C104" s="116"/>
      <c r="D104" s="117"/>
      <c r="E104" s="6"/>
      <c r="F104" s="115"/>
      <c r="G104" s="116"/>
      <c r="H104" s="117"/>
      <c r="I104" s="6"/>
      <c r="J104" s="118" t="s">
        <v>279</v>
      </c>
      <c r="K104" s="116"/>
      <c r="L104" s="119" t="str">
        <f>O33</f>
        <v/>
      </c>
      <c r="M104" s="116"/>
      <c r="N104" s="119" t="str">
        <f t="array" ref="N104">IFS(L104=0,"Pobretão",AND(L104&gt;0,L104&lt;10),"Pobre",AND(L104&gt;9,L104&lt;50),"Médio",AND(L104&gt;49,L104&lt;90),"Abastado",AND(L104&gt;89,L104&lt;99),"Rico",AND(L104&gt;98,L104&lt;100),"Ricaço")</f>
        <v>Pobretão</v>
      </c>
      <c r="O104" s="116"/>
      <c r="P104" s="117"/>
      <c r="Q104" s="6"/>
      <c r="R104" s="36"/>
      <c r="S104" s="37"/>
      <c r="AJ104" s="38"/>
    </row>
    <row r="105" ht="15.75" customHeight="1">
      <c r="A105" s="6"/>
      <c r="B105" s="120"/>
      <c r="C105" s="121"/>
      <c r="D105" s="122"/>
      <c r="E105" s="6"/>
      <c r="F105" s="120"/>
      <c r="G105" s="121"/>
      <c r="H105" s="122"/>
      <c r="I105" s="6"/>
      <c r="J105" s="123" t="s">
        <v>21</v>
      </c>
      <c r="K105" s="121"/>
      <c r="L105" s="124"/>
      <c r="M105" s="121"/>
      <c r="N105" s="121"/>
      <c r="O105" s="121"/>
      <c r="P105" s="122"/>
      <c r="Q105" s="6"/>
      <c r="R105" s="36"/>
      <c r="S105" s="37"/>
      <c r="AJ105" s="38"/>
    </row>
    <row r="106" ht="15.75" customHeight="1">
      <c r="A106" s="6"/>
      <c r="B106" s="120"/>
      <c r="C106" s="121"/>
      <c r="D106" s="122"/>
      <c r="E106" s="6"/>
      <c r="F106" s="120"/>
      <c r="G106" s="121"/>
      <c r="H106" s="122"/>
      <c r="I106" s="6"/>
      <c r="J106" s="125" t="s">
        <v>31</v>
      </c>
      <c r="K106" s="48"/>
      <c r="L106" s="126"/>
      <c r="M106" s="48"/>
      <c r="N106" s="48"/>
      <c r="O106" s="48"/>
      <c r="P106" s="49"/>
      <c r="Q106" s="6"/>
      <c r="R106" s="36"/>
      <c r="S106" s="37"/>
      <c r="AJ106" s="38"/>
    </row>
    <row r="107" ht="15.75" customHeight="1">
      <c r="A107" s="6"/>
      <c r="B107" s="120"/>
      <c r="C107" s="121"/>
      <c r="D107" s="122"/>
      <c r="E107" s="6"/>
      <c r="F107" s="120"/>
      <c r="G107" s="121"/>
      <c r="H107" s="122"/>
      <c r="I107" s="6"/>
      <c r="J107" s="118"/>
      <c r="K107" s="116"/>
      <c r="L107" s="117"/>
      <c r="M107" s="6"/>
      <c r="N107" s="118"/>
      <c r="O107" s="116"/>
      <c r="P107" s="117"/>
      <c r="Q107" s="6"/>
      <c r="R107" s="36"/>
      <c r="S107" s="37"/>
      <c r="AJ107" s="38"/>
    </row>
    <row r="108" ht="15.75" customHeight="1">
      <c r="A108" s="6"/>
      <c r="B108" s="120"/>
      <c r="C108" s="121"/>
      <c r="D108" s="122"/>
      <c r="E108" s="6"/>
      <c r="F108" s="120"/>
      <c r="G108" s="121"/>
      <c r="H108" s="122"/>
      <c r="I108" s="6"/>
      <c r="J108" s="123"/>
      <c r="K108" s="121"/>
      <c r="L108" s="122"/>
      <c r="M108" s="6"/>
      <c r="N108" s="123"/>
      <c r="O108" s="121"/>
      <c r="P108" s="122"/>
      <c r="Q108" s="6"/>
      <c r="R108" s="55"/>
      <c r="S108" s="37"/>
      <c r="AJ108" s="38"/>
    </row>
    <row r="109" ht="15.75" customHeight="1">
      <c r="A109" s="6"/>
      <c r="B109" s="120"/>
      <c r="C109" s="121"/>
      <c r="D109" s="122"/>
      <c r="E109" s="6"/>
      <c r="F109" s="120"/>
      <c r="G109" s="121"/>
      <c r="H109" s="122"/>
      <c r="I109" s="6"/>
      <c r="J109" s="123"/>
      <c r="K109" s="121"/>
      <c r="L109" s="122"/>
      <c r="M109" s="6"/>
      <c r="N109" s="123"/>
      <c r="O109" s="121"/>
      <c r="P109" s="122"/>
      <c r="Q109" s="6"/>
      <c r="R109" s="6"/>
      <c r="S109" s="37"/>
      <c r="AJ109" s="38"/>
    </row>
    <row r="110" ht="15.75" customHeight="1">
      <c r="A110" s="6"/>
      <c r="B110" s="120"/>
      <c r="C110" s="121"/>
      <c r="D110" s="122"/>
      <c r="E110" s="6"/>
      <c r="F110" s="120"/>
      <c r="G110" s="121"/>
      <c r="H110" s="122"/>
      <c r="I110" s="6"/>
      <c r="J110" s="123"/>
      <c r="K110" s="121"/>
      <c r="L110" s="122"/>
      <c r="M110" s="6"/>
      <c r="N110" s="123"/>
      <c r="O110" s="121"/>
      <c r="P110" s="122"/>
      <c r="Q110" s="6"/>
      <c r="R110" s="6"/>
      <c r="S110" s="37"/>
      <c r="AJ110" s="38"/>
    </row>
    <row r="111" ht="15.75" customHeight="1">
      <c r="A111" s="6"/>
      <c r="B111" s="120"/>
      <c r="C111" s="121"/>
      <c r="D111" s="122"/>
      <c r="E111" s="6"/>
      <c r="F111" s="120"/>
      <c r="G111" s="121"/>
      <c r="H111" s="122"/>
      <c r="I111" s="6"/>
      <c r="J111" s="123"/>
      <c r="K111" s="121"/>
      <c r="L111" s="122"/>
      <c r="M111" s="6"/>
      <c r="N111" s="123"/>
      <c r="O111" s="121"/>
      <c r="P111" s="122"/>
      <c r="Q111" s="6"/>
      <c r="R111" s="6"/>
      <c r="S111" s="37"/>
      <c r="AJ111" s="38"/>
    </row>
    <row r="112" ht="15.75" customHeight="1">
      <c r="A112" s="6"/>
      <c r="B112" s="120"/>
      <c r="C112" s="121"/>
      <c r="D112" s="122"/>
      <c r="E112" s="6"/>
      <c r="F112" s="120"/>
      <c r="G112" s="121"/>
      <c r="H112" s="122"/>
      <c r="I112" s="6"/>
      <c r="J112" s="123"/>
      <c r="K112" s="121"/>
      <c r="L112" s="122"/>
      <c r="M112" s="6"/>
      <c r="N112" s="123"/>
      <c r="O112" s="121"/>
      <c r="P112" s="122"/>
      <c r="Q112" s="6"/>
      <c r="R112" s="6"/>
      <c r="S112" s="37"/>
      <c r="AJ112" s="38"/>
    </row>
    <row r="113" ht="15.75" customHeight="1">
      <c r="A113" s="6"/>
      <c r="B113" s="120"/>
      <c r="C113" s="121"/>
      <c r="D113" s="122"/>
      <c r="E113" s="6"/>
      <c r="F113" s="120"/>
      <c r="G113" s="121"/>
      <c r="H113" s="122"/>
      <c r="I113" s="6"/>
      <c r="J113" s="123"/>
      <c r="K113" s="121"/>
      <c r="L113" s="122"/>
      <c r="M113" s="6"/>
      <c r="N113" s="123"/>
      <c r="O113" s="121"/>
      <c r="P113" s="122"/>
      <c r="Q113" s="6"/>
      <c r="R113" s="6"/>
      <c r="S113" s="37"/>
      <c r="AJ113" s="38"/>
    </row>
    <row r="114" ht="15.75" customHeight="1">
      <c r="A114" s="6"/>
      <c r="B114" s="120"/>
      <c r="C114" s="121"/>
      <c r="D114" s="122"/>
      <c r="E114" s="6"/>
      <c r="F114" s="120"/>
      <c r="G114" s="121"/>
      <c r="H114" s="122"/>
      <c r="I114" s="6"/>
      <c r="J114" s="123"/>
      <c r="K114" s="121"/>
      <c r="L114" s="122"/>
      <c r="M114" s="6"/>
      <c r="N114" s="123"/>
      <c r="O114" s="121"/>
      <c r="P114" s="122"/>
      <c r="Q114" s="6"/>
      <c r="R114" s="6"/>
      <c r="S114" s="37"/>
      <c r="AJ114" s="38"/>
    </row>
    <row r="115" ht="15.75" customHeight="1">
      <c r="A115" s="6"/>
      <c r="B115" s="120"/>
      <c r="C115" s="121"/>
      <c r="D115" s="122"/>
      <c r="E115" s="6"/>
      <c r="F115" s="120"/>
      <c r="G115" s="121"/>
      <c r="H115" s="122"/>
      <c r="I115" s="6"/>
      <c r="J115" s="123"/>
      <c r="K115" s="121"/>
      <c r="L115" s="122"/>
      <c r="M115" s="6"/>
      <c r="N115" s="123"/>
      <c r="O115" s="121"/>
      <c r="P115" s="122"/>
      <c r="Q115" s="6"/>
      <c r="R115" s="6"/>
      <c r="S115" s="37"/>
      <c r="AJ115" s="38"/>
    </row>
    <row r="116" ht="15.75" customHeight="1">
      <c r="A116" s="6"/>
      <c r="B116" s="127"/>
      <c r="C116" s="128"/>
      <c r="D116" s="129"/>
      <c r="E116" s="6"/>
      <c r="F116" s="127"/>
      <c r="G116" s="128"/>
      <c r="H116" s="129"/>
      <c r="I116" s="6"/>
      <c r="J116" s="130"/>
      <c r="K116" s="128"/>
      <c r="L116" s="129"/>
      <c r="M116" s="6"/>
      <c r="N116" s="130"/>
      <c r="O116" s="128"/>
      <c r="P116" s="129"/>
      <c r="Q116" s="6"/>
      <c r="R116" s="6"/>
      <c r="S116" s="37"/>
      <c r="AJ116" s="38"/>
    </row>
    <row r="117" ht="15.75" customHeight="1">
      <c r="A117" s="6"/>
      <c r="B117" s="6"/>
      <c r="C117" s="6"/>
      <c r="D117" s="6"/>
      <c r="E117" s="6"/>
      <c r="F117" s="6"/>
      <c r="G117" s="6"/>
      <c r="H117" s="6"/>
      <c r="I117" s="6"/>
      <c r="J117" s="6"/>
      <c r="K117" s="6"/>
      <c r="L117" s="6"/>
      <c r="M117" s="6"/>
      <c r="N117" s="6"/>
      <c r="O117" s="6"/>
      <c r="P117" s="6"/>
      <c r="Q117" s="6"/>
      <c r="R117" s="6"/>
      <c r="S117" s="37"/>
      <c r="AJ117" s="38"/>
    </row>
    <row r="118" ht="15.75" customHeight="1">
      <c r="A118" s="6"/>
      <c r="B118" s="6"/>
      <c r="C118" s="6"/>
      <c r="D118" s="6"/>
      <c r="E118" s="6"/>
      <c r="F118" s="6"/>
      <c r="G118" s="6"/>
      <c r="H118" s="6"/>
      <c r="I118" s="6"/>
      <c r="J118" s="6"/>
      <c r="K118" s="6"/>
      <c r="L118" s="6"/>
      <c r="M118" s="6"/>
      <c r="N118" s="6"/>
      <c r="O118" s="6"/>
      <c r="P118" s="6"/>
      <c r="Q118" s="6"/>
      <c r="R118" s="6"/>
      <c r="S118" s="37"/>
      <c r="AJ118" s="38"/>
    </row>
    <row r="119" ht="15.75" customHeight="1">
      <c r="A119" s="6"/>
      <c r="B119" s="6"/>
      <c r="C119" s="6"/>
      <c r="D119" s="6"/>
      <c r="E119" s="6"/>
      <c r="F119" s="6"/>
      <c r="G119" s="6"/>
      <c r="H119" s="6"/>
      <c r="I119" s="6"/>
      <c r="J119" s="6"/>
      <c r="K119" s="6"/>
      <c r="L119" s="6"/>
      <c r="M119" s="6"/>
      <c r="N119" s="6"/>
      <c r="O119" s="6"/>
      <c r="P119" s="6"/>
      <c r="Q119" s="6"/>
      <c r="R119" s="6"/>
      <c r="S119" s="37"/>
      <c r="AJ119" s="38"/>
    </row>
    <row r="120" ht="15.75" customHeight="1">
      <c r="A120" s="6"/>
      <c r="B120" s="6"/>
      <c r="C120" s="6"/>
      <c r="D120" s="6"/>
      <c r="E120" s="6"/>
      <c r="F120" s="6"/>
      <c r="G120" s="6"/>
      <c r="H120" s="6"/>
      <c r="I120" s="6"/>
      <c r="J120" s="6"/>
      <c r="K120" s="6"/>
      <c r="L120" s="6"/>
      <c r="M120" s="6"/>
      <c r="N120" s="6"/>
      <c r="O120" s="6"/>
      <c r="P120" s="6"/>
      <c r="Q120" s="6"/>
      <c r="R120" s="6"/>
      <c r="S120" s="37"/>
      <c r="AJ120" s="38"/>
    </row>
    <row r="121" ht="15.75" customHeight="1">
      <c r="A121" s="6"/>
      <c r="B121" s="6"/>
      <c r="C121" s="6"/>
      <c r="D121" s="6"/>
      <c r="E121" s="6"/>
      <c r="F121" s="6"/>
      <c r="G121" s="6"/>
      <c r="H121" s="6"/>
      <c r="I121" s="6"/>
      <c r="J121" s="6"/>
      <c r="K121" s="6"/>
      <c r="L121" s="6"/>
      <c r="M121" s="6"/>
      <c r="N121" s="6"/>
      <c r="O121" s="6"/>
      <c r="P121" s="6"/>
      <c r="Q121" s="6"/>
      <c r="R121" s="6"/>
      <c r="S121" s="56"/>
      <c r="T121" s="57"/>
      <c r="U121" s="57"/>
      <c r="V121" s="57"/>
      <c r="W121" s="57"/>
      <c r="X121" s="57"/>
      <c r="Y121" s="57"/>
      <c r="Z121" s="57"/>
      <c r="AA121" s="57"/>
      <c r="AB121" s="57"/>
      <c r="AC121" s="57"/>
      <c r="AD121" s="57"/>
      <c r="AE121" s="57"/>
      <c r="AF121" s="57"/>
      <c r="AG121" s="57"/>
      <c r="AH121" s="57"/>
      <c r="AI121" s="57"/>
      <c r="AJ121" s="58"/>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row>
    <row r="228" ht="15.75" customHeight="1">
      <c r="A228" s="3"/>
      <c r="B228" s="3"/>
      <c r="C228" s="3"/>
      <c r="D228" s="3"/>
      <c r="E228" s="3"/>
      <c r="F228" s="3"/>
      <c r="G228" s="3"/>
      <c r="H228" s="3"/>
      <c r="I228" s="3"/>
      <c r="J228" s="3"/>
      <c r="K228" s="3"/>
      <c r="L228" s="3"/>
      <c r="M228" s="3"/>
      <c r="N228" s="3"/>
      <c r="O228" s="3"/>
      <c r="P228" s="3"/>
      <c r="Q228" s="3"/>
      <c r="R228" s="3"/>
      <c r="S228" s="3"/>
      <c r="T228" s="6"/>
      <c r="U228" s="6"/>
      <c r="V228" s="6"/>
      <c r="W228" s="6"/>
      <c r="X228" s="6"/>
      <c r="Y228" s="6"/>
      <c r="Z228" s="6"/>
      <c r="AA228" s="6"/>
      <c r="AB228" s="6"/>
      <c r="AC228" s="6"/>
      <c r="AD228" s="6"/>
      <c r="AE228" s="6"/>
      <c r="AF228" s="6"/>
      <c r="AG228" s="6"/>
      <c r="AH228" s="6"/>
      <c r="AI228" s="6"/>
      <c r="AJ228" s="6"/>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sheetData>
  <mergeCells count="349">
    <mergeCell ref="B35:B36"/>
    <mergeCell ref="C35:D36"/>
    <mergeCell ref="E35:E36"/>
    <mergeCell ref="G35:G36"/>
    <mergeCell ref="H35:I36"/>
    <mergeCell ref="J35:J36"/>
    <mergeCell ref="L35:L36"/>
    <mergeCell ref="B37:B38"/>
    <mergeCell ref="C37:D38"/>
    <mergeCell ref="E37:E38"/>
    <mergeCell ref="G37:G38"/>
    <mergeCell ref="H37:I38"/>
    <mergeCell ref="J37:J38"/>
    <mergeCell ref="L37:L38"/>
    <mergeCell ref="D11:D12"/>
    <mergeCell ref="D13:D14"/>
    <mergeCell ref="E13:E14"/>
    <mergeCell ref="G13:G14"/>
    <mergeCell ref="H13:H14"/>
    <mergeCell ref="J13:J14"/>
    <mergeCell ref="M12:N12"/>
    <mergeCell ref="M13:N13"/>
    <mergeCell ref="J19:J20"/>
    <mergeCell ref="L19:L20"/>
    <mergeCell ref="B21:B22"/>
    <mergeCell ref="C21:D22"/>
    <mergeCell ref="E21:E22"/>
    <mergeCell ref="G21:G22"/>
    <mergeCell ref="H21:I22"/>
    <mergeCell ref="J21:J22"/>
    <mergeCell ref="L21:L22"/>
    <mergeCell ref="B39:B40"/>
    <mergeCell ref="C39:D40"/>
    <mergeCell ref="E39:E40"/>
    <mergeCell ref="G39:G40"/>
    <mergeCell ref="H39:I40"/>
    <mergeCell ref="J39:J40"/>
    <mergeCell ref="L39:L40"/>
    <mergeCell ref="M39:N40"/>
    <mergeCell ref="B49:B50"/>
    <mergeCell ref="C49:D50"/>
    <mergeCell ref="E49:E50"/>
    <mergeCell ref="G49:G50"/>
    <mergeCell ref="H49:I50"/>
    <mergeCell ref="J49:J50"/>
    <mergeCell ref="L49:L50"/>
    <mergeCell ref="B51:B52"/>
    <mergeCell ref="C51:D52"/>
    <mergeCell ref="E51:E52"/>
    <mergeCell ref="G51:G52"/>
    <mergeCell ref="H51:I52"/>
    <mergeCell ref="J51:J52"/>
    <mergeCell ref="L51:L52"/>
    <mergeCell ref="B31:B32"/>
    <mergeCell ref="C31:D32"/>
    <mergeCell ref="E31:E32"/>
    <mergeCell ref="G31:G32"/>
    <mergeCell ref="H31:I32"/>
    <mergeCell ref="J31:J32"/>
    <mergeCell ref="L31:L32"/>
    <mergeCell ref="B33:B34"/>
    <mergeCell ref="C33:D34"/>
    <mergeCell ref="E33:E34"/>
    <mergeCell ref="G33:G34"/>
    <mergeCell ref="H33:I34"/>
    <mergeCell ref="J33:J34"/>
    <mergeCell ref="L33:L34"/>
    <mergeCell ref="B41:B42"/>
    <mergeCell ref="C41:D42"/>
    <mergeCell ref="E41:E42"/>
    <mergeCell ref="G41:G42"/>
    <mergeCell ref="H41:I42"/>
    <mergeCell ref="J41:J42"/>
    <mergeCell ref="L41:L42"/>
    <mergeCell ref="B43:B44"/>
    <mergeCell ref="C43:D44"/>
    <mergeCell ref="E43:E44"/>
    <mergeCell ref="G43:G44"/>
    <mergeCell ref="H43:I44"/>
    <mergeCell ref="J43:J44"/>
    <mergeCell ref="L43:L44"/>
    <mergeCell ref="B45:B46"/>
    <mergeCell ref="C45:D46"/>
    <mergeCell ref="E45:E46"/>
    <mergeCell ref="G45:G46"/>
    <mergeCell ref="H45:I46"/>
    <mergeCell ref="J45:J46"/>
    <mergeCell ref="L45:L46"/>
    <mergeCell ref="B47:B48"/>
    <mergeCell ref="C47:D48"/>
    <mergeCell ref="E47:E48"/>
    <mergeCell ref="G47:G48"/>
    <mergeCell ref="H47:I48"/>
    <mergeCell ref="J47:J48"/>
    <mergeCell ref="L47:L48"/>
    <mergeCell ref="B53:B54"/>
    <mergeCell ref="C53:D54"/>
    <mergeCell ref="E53:E54"/>
    <mergeCell ref="G53:G54"/>
    <mergeCell ref="H53:I54"/>
    <mergeCell ref="J53:J54"/>
    <mergeCell ref="L53:L54"/>
    <mergeCell ref="B61:B62"/>
    <mergeCell ref="C61:D62"/>
    <mergeCell ref="E61:E62"/>
    <mergeCell ref="G61:G62"/>
    <mergeCell ref="H61:I62"/>
    <mergeCell ref="J61:J62"/>
    <mergeCell ref="L61:L62"/>
    <mergeCell ref="B63:B64"/>
    <mergeCell ref="C63:D64"/>
    <mergeCell ref="G63:G64"/>
    <mergeCell ref="H63:I64"/>
    <mergeCell ref="J63:J64"/>
    <mergeCell ref="L63:L64"/>
    <mergeCell ref="D66:O66"/>
    <mergeCell ref="B27:B28"/>
    <mergeCell ref="C27:D28"/>
    <mergeCell ref="E27:E28"/>
    <mergeCell ref="G27:G28"/>
    <mergeCell ref="H27:I28"/>
    <mergeCell ref="J27:J28"/>
    <mergeCell ref="L27:L28"/>
    <mergeCell ref="B29:B30"/>
    <mergeCell ref="C29:D30"/>
    <mergeCell ref="E29:E30"/>
    <mergeCell ref="G29:G30"/>
    <mergeCell ref="H29:I30"/>
    <mergeCell ref="J29:J30"/>
    <mergeCell ref="L29:L30"/>
    <mergeCell ref="B55:B56"/>
    <mergeCell ref="C55:D56"/>
    <mergeCell ref="E55:E56"/>
    <mergeCell ref="G55:G56"/>
    <mergeCell ref="H55:I56"/>
    <mergeCell ref="J55:J56"/>
    <mergeCell ref="L55:L56"/>
    <mergeCell ref="B57:B58"/>
    <mergeCell ref="C57:D58"/>
    <mergeCell ref="E57:E58"/>
    <mergeCell ref="G57:G58"/>
    <mergeCell ref="H57:I58"/>
    <mergeCell ref="J57:J58"/>
    <mergeCell ref="L57:L58"/>
    <mergeCell ref="B59:B60"/>
    <mergeCell ref="C59:D60"/>
    <mergeCell ref="E59:E60"/>
    <mergeCell ref="G59:G60"/>
    <mergeCell ref="H59:I60"/>
    <mergeCell ref="J59:J60"/>
    <mergeCell ref="L59:L60"/>
    <mergeCell ref="E63:E64"/>
    <mergeCell ref="D67:E67"/>
    <mergeCell ref="D68:E68"/>
    <mergeCell ref="D69:E69"/>
    <mergeCell ref="D70:E70"/>
    <mergeCell ref="D71:E71"/>
    <mergeCell ref="D72:E72"/>
    <mergeCell ref="B77:P77"/>
    <mergeCell ref="B78:H78"/>
    <mergeCell ref="J78:P78"/>
    <mergeCell ref="M45:N46"/>
    <mergeCell ref="O45:O46"/>
    <mergeCell ref="M47:N48"/>
    <mergeCell ref="O47:O48"/>
    <mergeCell ref="M49:N50"/>
    <mergeCell ref="O49:O50"/>
    <mergeCell ref="M51:N52"/>
    <mergeCell ref="O51:O52"/>
    <mergeCell ref="M53:N54"/>
    <mergeCell ref="O53:O54"/>
    <mergeCell ref="M55:N56"/>
    <mergeCell ref="O55:O56"/>
    <mergeCell ref="J86:P86"/>
    <mergeCell ref="J87:P89"/>
    <mergeCell ref="M57:N58"/>
    <mergeCell ref="O57:O58"/>
    <mergeCell ref="B79:H81"/>
    <mergeCell ref="J79:P81"/>
    <mergeCell ref="B82:H82"/>
    <mergeCell ref="J82:P82"/>
    <mergeCell ref="J83:P85"/>
    <mergeCell ref="J91:P93"/>
    <mergeCell ref="J94:P94"/>
    <mergeCell ref="B83:H85"/>
    <mergeCell ref="B86:H86"/>
    <mergeCell ref="B87:H89"/>
    <mergeCell ref="B90:H90"/>
    <mergeCell ref="J90:P90"/>
    <mergeCell ref="B91:H93"/>
    <mergeCell ref="B94:H94"/>
    <mergeCell ref="B95:H97"/>
    <mergeCell ref="J95:P97"/>
    <mergeCell ref="B98:H98"/>
    <mergeCell ref="J98:P98"/>
    <mergeCell ref="B99:H101"/>
    <mergeCell ref="J99:P101"/>
    <mergeCell ref="B103:H103"/>
    <mergeCell ref="J106:K106"/>
    <mergeCell ref="J107:L107"/>
    <mergeCell ref="J109:L109"/>
    <mergeCell ref="F108:H108"/>
    <mergeCell ref="F109:H109"/>
    <mergeCell ref="J108:L108"/>
    <mergeCell ref="N109:P109"/>
    <mergeCell ref="J103:P103"/>
    <mergeCell ref="R103:R108"/>
    <mergeCell ref="J104:K104"/>
    <mergeCell ref="L104:M104"/>
    <mergeCell ref="J105:K105"/>
    <mergeCell ref="L105:P105"/>
    <mergeCell ref="L106:P106"/>
    <mergeCell ref="B3:C3"/>
    <mergeCell ref="B4:C4"/>
    <mergeCell ref="D4:F4"/>
    <mergeCell ref="B5:C5"/>
    <mergeCell ref="D5:F5"/>
    <mergeCell ref="D3:F3"/>
    <mergeCell ref="B6:C6"/>
    <mergeCell ref="B7:C7"/>
    <mergeCell ref="D7:F7"/>
    <mergeCell ref="E11:E12"/>
    <mergeCell ref="G11:G12"/>
    <mergeCell ref="H11:H12"/>
    <mergeCell ref="J11:J12"/>
    <mergeCell ref="K11:K12"/>
    <mergeCell ref="M11:O11"/>
    <mergeCell ref="B2:P2"/>
    <mergeCell ref="R2:AJ2"/>
    <mergeCell ref="H3:M3"/>
    <mergeCell ref="O3:P8"/>
    <mergeCell ref="R3:R8"/>
    <mergeCell ref="S3:AJ8"/>
    <mergeCell ref="H5:M5"/>
    <mergeCell ref="J15:K16"/>
    <mergeCell ref="L15:L16"/>
    <mergeCell ref="H7:M7"/>
    <mergeCell ref="B8:C8"/>
    <mergeCell ref="D8:F8"/>
    <mergeCell ref="D10:O10"/>
    <mergeCell ref="R10:R16"/>
    <mergeCell ref="S10:AJ16"/>
    <mergeCell ref="K13:K14"/>
    <mergeCell ref="M16:N16"/>
    <mergeCell ref="G15:G16"/>
    <mergeCell ref="H15:H16"/>
    <mergeCell ref="B18:P18"/>
    <mergeCell ref="D15:D16"/>
    <mergeCell ref="E15:E16"/>
    <mergeCell ref="B19:B20"/>
    <mergeCell ref="C19:D20"/>
    <mergeCell ref="E19:E20"/>
    <mergeCell ref="G19:G20"/>
    <mergeCell ref="H19:I20"/>
    <mergeCell ref="B23:B24"/>
    <mergeCell ref="C23:D24"/>
    <mergeCell ref="E23:E24"/>
    <mergeCell ref="G23:G24"/>
    <mergeCell ref="H23:I24"/>
    <mergeCell ref="J23:J24"/>
    <mergeCell ref="L23:L24"/>
    <mergeCell ref="B25:B26"/>
    <mergeCell ref="C25:D26"/>
    <mergeCell ref="E25:E26"/>
    <mergeCell ref="G25:G26"/>
    <mergeCell ref="H25:I26"/>
    <mergeCell ref="J25:J26"/>
    <mergeCell ref="L25:L26"/>
    <mergeCell ref="M21:N22"/>
    <mergeCell ref="M23:N24"/>
    <mergeCell ref="O23:O24"/>
    <mergeCell ref="M25:N26"/>
    <mergeCell ref="O25:O26"/>
    <mergeCell ref="M19:N20"/>
    <mergeCell ref="M27:N28"/>
    <mergeCell ref="O27:O28"/>
    <mergeCell ref="M29:N30"/>
    <mergeCell ref="O29:O30"/>
    <mergeCell ref="M31:N32"/>
    <mergeCell ref="O31:O32"/>
    <mergeCell ref="O39:O40"/>
    <mergeCell ref="M41:N42"/>
    <mergeCell ref="O41:O42"/>
    <mergeCell ref="M43:N44"/>
    <mergeCell ref="O43:O44"/>
    <mergeCell ref="R32:R38"/>
    <mergeCell ref="M33:N34"/>
    <mergeCell ref="O33:O34"/>
    <mergeCell ref="M35:N36"/>
    <mergeCell ref="O35:O36"/>
    <mergeCell ref="M37:N38"/>
    <mergeCell ref="O37:O38"/>
    <mergeCell ref="M59:N60"/>
    <mergeCell ref="O59:O60"/>
    <mergeCell ref="M61:N62"/>
    <mergeCell ref="O61:O62"/>
    <mergeCell ref="S77:AJ99"/>
    <mergeCell ref="S103:AJ121"/>
    <mergeCell ref="M14:M15"/>
    <mergeCell ref="N14:N15"/>
    <mergeCell ref="R18:R24"/>
    <mergeCell ref="S18:AJ75"/>
    <mergeCell ref="O19:O20"/>
    <mergeCell ref="O21:O22"/>
    <mergeCell ref="R25:R31"/>
    <mergeCell ref="N111:P111"/>
    <mergeCell ref="N112:P112"/>
    <mergeCell ref="N113:P113"/>
    <mergeCell ref="N114:P114"/>
    <mergeCell ref="N115:P115"/>
    <mergeCell ref="N116:P116"/>
    <mergeCell ref="M63:N64"/>
    <mergeCell ref="O63:O64"/>
    <mergeCell ref="R77:R82"/>
    <mergeCell ref="N104:P104"/>
    <mergeCell ref="N107:P107"/>
    <mergeCell ref="N108:P108"/>
    <mergeCell ref="N110:P110"/>
    <mergeCell ref="B104:D104"/>
    <mergeCell ref="F104:H104"/>
    <mergeCell ref="B105:D105"/>
    <mergeCell ref="F105:H105"/>
    <mergeCell ref="B106:D106"/>
    <mergeCell ref="F106:H106"/>
    <mergeCell ref="F107:H107"/>
    <mergeCell ref="J110:L110"/>
    <mergeCell ref="J111:L111"/>
    <mergeCell ref="J112:L112"/>
    <mergeCell ref="J113:L113"/>
    <mergeCell ref="J114:L114"/>
    <mergeCell ref="J115:L115"/>
    <mergeCell ref="J116:L116"/>
    <mergeCell ref="F111:H111"/>
    <mergeCell ref="F112:H112"/>
    <mergeCell ref="B113:D113"/>
    <mergeCell ref="F113:H113"/>
    <mergeCell ref="B114:D114"/>
    <mergeCell ref="F114:H114"/>
    <mergeCell ref="B115:D115"/>
    <mergeCell ref="F115:H115"/>
    <mergeCell ref="B116:D116"/>
    <mergeCell ref="F116:H116"/>
    <mergeCell ref="B107:D107"/>
    <mergeCell ref="B108:D108"/>
    <mergeCell ref="B109:D109"/>
    <mergeCell ref="B110:D110"/>
    <mergeCell ref="F110:H110"/>
    <mergeCell ref="B111:D111"/>
    <mergeCell ref="B112:D112"/>
  </mergeCells>
  <conditionalFormatting sqref="R1:R1000">
    <cfRule type="containsBlanks" dxfId="0" priority="1">
      <formula>LEN(TRIM(R1))=0</formula>
    </cfRule>
  </conditionalFormatting>
  <conditionalFormatting sqref="F19:F64 K19:K64 P19:P64 S1:AJ1000">
    <cfRule type="containsBlanks" dxfId="0" priority="2">
      <formula>LEN(TRIM(F19))=0</formula>
    </cfRule>
  </conditionalFormatting>
  <dataValidations>
    <dataValidation type="list" allowBlank="1" showInputMessage="1" showErrorMessage="1" prompt="Outras Regras - Regras Diversas" sqref="R77">
      <formula1>"Teste de Ideia,Teste de Inteligência,Teste de Saber,Teste de Sorte,Treinamento,Exame de Realidade"</formula1>
    </dataValidation>
    <dataValidation type="decimal" allowBlank="1" showInputMessage="1" showErrorMessage="1" prompt="Poder - 3D6 vezes 5_x000a_0: Mente debilitada._x000a_15: Mente fraca._x000a_50: Média humana._x000a_90: Determinado, alto potêncial de conexão. _x000a_100: Vontade de ferro. _x000a_140: Sobre human. _x000a_210+: Além da compreensão humana " sqref="K13">
      <formula1>0.0</formula1>
      <formula2>1000.0</formula2>
    </dataValidation>
    <dataValidation type="list" allowBlank="1" showInputMessage="1" showErrorMessage="1" prompt="Perícias 3/3 - Pesquise sobre perícias de Ocultismo à Usar Bibliotecas" sqref="R32">
      <formula1>"Ocultismo,Operar Maquinário Pesado,Persuasão,Pilotar (Especializações),Prestidigitação,Primeiros Socorros,Psicanálise,Psicologia,Rastrear,Saltar,Sobrevivência (Especializações),Treinar Animais,Usar Bibliotecas"</formula1>
    </dataValidation>
    <dataValidation type="list" allowBlank="1" showInputMessage="1" showErrorMessage="1" prompt="Sobre o Dinheiro - Pesquisa sobre os Nível de gastos, dinheiro e patrimônio" sqref="R103">
      <formula1>"Nível de Crédito,Dinheiro,Patrimônio"</formula1>
    </dataValidation>
    <dataValidation type="decimal" allowBlank="1" showInputMessage="1" showErrorMessage="1" promptTitle="Aparência" prompt="3D6 vezes 5_x000a_0: Tão grotesco que os outros sentem medo, revolta ou pena._x000a_15: Feio, possivelmente desfigurado._x000a_50: Humano médio._x000a_90: Uma das pessoas mais bonitas que poderia encontrar_x000a_99: O ápice do glomour e da sofisticação. M" sqref="H13">
      <formula1>0.0</formula1>
      <formula2>99.0</formula2>
    </dataValidation>
    <dataValidation type="list" allowBlank="1" showInputMessage="1" showErrorMessage="1" prompt="Perícia - Escolha a especialidade de Lutar que é utilizada" sqref="F68:F72">
      <formula1>"Arcos,Arremessar,Artilharia,Briga,Chicotes,Consertos Elétricos,Demolições,Espadas,Espingardas,Lanças,Lança-Chamas,Machados,Manguais,MT,Pistolas,Rifles,SMT"</formula1>
    </dataValidation>
    <dataValidation type="decimal" allowBlank="1" showInputMessage="1" showErrorMessage="1" prompt="Força - 3D6 vezes 5_x000a_0: Debilitado._x000a_15: Fraco._x000a_50: Força Humana Média._x000a_90: Uma das pessoas mais fortes que já conheceu._x000a_99: Máximo Humano._x000a_140: Sobre-humano._x000a_200+: Força monstruosa" sqref="E11">
      <formula1>0.0</formula1>
      <formula2>99.0</formula2>
    </dataValidation>
    <dataValidation type="decimal" allowBlank="1" showInputMessage="1" showErrorMessage="1" promptTitle="Tamanho" prompt="2D6+6 vezes 5_x000a_1: Bebê (0,5 a 6kg)_x000a_15: Criança ou anão (15kg)_x000a_65: Adulto médio (75kg)_x000a_80: Muito alto, robusto ou obeso (110kg)_x000a_99: Fora do comum (150kg)_x000a_150: Cavalo (436kg)_x000a_180: Maior humano registrado (6354kg)_x00" sqref="E15">
      <formula1>0.0</formula1>
      <formula2>200.0</formula2>
    </dataValidation>
    <dataValidation type="list" allowBlank="1" showInputMessage="1" showErrorMessage="1" prompt="Pericias 1/3 - Pesquise sobre pericias de Antropologia à Disfarce_x000a_" sqref="R18">
      <formula1>"Antropologia,Armas de Fogo,Arqueologia,Arremessar,Arte e Ofício,Artilharia,Conhecimento,Avaliação,Cavalgar,Charme,Chaveiro,Ciências,Consertos Elétricos,Consertos Mecânicos,Contabilidade,Demolições,Dirigir Automóveis,Direito,Disfarce"</formula1>
    </dataValidation>
    <dataValidation type="list" allowBlank="1" showInputMessage="1" showErrorMessage="1" prompt="Perícias 2/3 - Pesquise Sobre perícias de Escalar à Nível de Crédito" sqref="R25">
      <formula1>"Escalar,Escutar,Encontrar,Esquivar,Furtividade,Hipnose,História,Intimidação,Lábia,Leitura Labial,Língua (Nativa),Língua Outra,Lutar,Medicina,Mergulho,Mythos de Cthulhu,Mundo Natural,Natação,Navegação,Nível de Crédito"</formula1>
    </dataValidation>
    <dataValidation type="decimal" allowBlank="1" showInputMessage="1" showErrorMessage="1" prompt="Idade Mínima - Você precisa ter pelo menos 15 anos para entrar neste brinquedo" sqref="D6">
      <formula1>15.0</formula1>
      <formula2>90.0</formula2>
    </dataValidation>
    <dataValidation type="decimal" allowBlank="1" showInputMessage="1" showErrorMessage="1" prompt="Destreza - 3D6 vezes 5_x000a_0: Incapaz de se mover._x000a_15: Lento e desajeitado._x000a_50: Humano Médio._x000a_90: Rápido, ágil (acrobata, dançarino)._x000a_99: Atleta mundial, máximo humano._x000a_120: Sobre-humano._x000a_200+: Como um relâmpago." sqref="H11">
      <formula1>0.0</formula1>
      <formula2>99.0</formula2>
    </dataValidation>
    <dataValidation type="decimal" allowBlank="1" showInputMessage="1" showErrorMessage="1" prompt="Inteligência - 2D6+6 vezes 5_x000a_0: Nenhum Intecto._x000a_15: Raciocinio lento._x000a_50: Média humana._x000a_90: inteligente._x000a_99: Gênio._x000a_140: Sobre-humano._x000a_210+: Monstruoso, capaz de operar em multiplas dimensões." sqref="K11">
      <formula1>0.0</formula1>
      <formula2>99.0</formula2>
    </dataValidation>
    <dataValidation type="list" allowBlank="1" showInputMessage="1" showErrorMessage="1" prompt="Selecionar Perícia - Marque um X na pericia que tiver utilizado com sucesso durante a Sessão._x000a_" sqref="B19 G19 L19 B21 G21 L21 B23 G23 L23 B25 G25 L25 B27 G27 L27 B29 G29 L29 B31 G31 L31 B33 G33 L33 B35 G35 L35 B37 G37 L37 B39 G39 L39 B41 G41 L41 B43 G43 L43 B45 G45 L45 B47 G47 L47 B49 G49 L49 B51 G51 L51 B53 G53 L53 B55 G55 L55 B57 G57 L57 B59 G59 L59 B61 G61 L61 B63 G63 L63">
      <formula1>"X"</formula1>
    </dataValidation>
    <dataValidation type="list" allowBlank="1" showInputMessage="1" showErrorMessage="1" prompt="Atributos - Pesquise sobre os atributos ou caracteristicas de combate" sqref="R10">
      <formula1>"Aparência,Constituição,Dano extra e Corpo,Destreza,Educação,Esquivar,Força,Inteligência,Poder,Sorte,Tamanho,Taxa de Movimento"</formula1>
    </dataValidation>
    <dataValidation type="decimal" allowBlank="1" showInputMessage="1" showErrorMessage="1" prompt="Constituição - 3D6 vezes 5_x000a_0: Morto._x000a_15: Saúde fraca._x000a_50: Humano médio saudável._x000a_90: Quase não tem refriados, durão._x000a_99: Máximo Humano._x000a_140: Sobre-humano._x000a_200+: Monstruoso, imune à maioria das doenças terrestres." sqref="E13">
      <formula1>0.0</formula1>
      <formula2>99.0</formula2>
    </dataValidation>
    <dataValidation type="list" allowBlank="1" showInputMessage="1" showErrorMessage="1" prompt="Sobre o Investigador - Pesquisa sobre os pontos de vida, magia ou sanidade" sqref="R3">
      <formula1>"Pontos de Vida,Pontos de Magia,Sanidade,Sanidade máxima"</formula1>
    </dataValidation>
    <dataValidation type="decimal" allowBlank="1" showInputMessage="1" showErrorMessage="1" promptTitle="Educação" prompt="2D6+6 vezes 5_x000a_0: Recém-nascido._x000a_15: Completamente não instruído._x000a_60: Ensino médio completo._x000a_70: Estudante universitário._x000a_80: Graduado._x000a_90: Doutorado, professor._x000a_96: Autoridade mundial no seu campo._x000a_99: Máxim" sqref="H15">
      <formula1>0.0</formula1>
      <formula2>99.0</formula2>
    </dataValidation>
  </dataValidation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162.86"/>
    <col customWidth="1" min="3" max="3" width="2.43"/>
    <col customWidth="1" min="4" max="4" width="20.86"/>
    <col customWidth="1" min="5" max="5" width="136.14"/>
    <col customWidth="1" min="6" max="6" width="2.43"/>
    <col customWidth="1" min="7" max="7" width="23.43"/>
    <col customWidth="1" min="8" max="8" width="255.71"/>
    <col customWidth="1" min="9" max="9" width="14.86"/>
    <col customWidth="1" min="10" max="10" width="111.14"/>
    <col customWidth="1" min="11" max="11" width="14.86"/>
    <col customWidth="1" min="12" max="12" width="96.86"/>
    <col customWidth="1" min="13" max="26" width="9.14"/>
  </cols>
  <sheetData>
    <row r="1">
      <c r="A1" s="1" t="s">
        <v>0</v>
      </c>
      <c r="C1" s="2"/>
      <c r="D1" s="1" t="s">
        <v>1</v>
      </c>
      <c r="F1" s="2"/>
      <c r="G1" s="1" t="s">
        <v>2</v>
      </c>
      <c r="I1" s="1" t="s">
        <v>3</v>
      </c>
      <c r="K1" s="1" t="s">
        <v>4</v>
      </c>
      <c r="M1" s="3"/>
      <c r="N1" s="3"/>
      <c r="O1" s="3"/>
      <c r="P1" s="3"/>
      <c r="Q1" s="3"/>
      <c r="R1" s="3"/>
      <c r="S1" s="3"/>
      <c r="T1" s="3"/>
      <c r="U1" s="3"/>
      <c r="V1" s="3"/>
      <c r="W1" s="3"/>
      <c r="X1" s="3"/>
      <c r="Y1" s="3"/>
      <c r="Z1" s="3"/>
    </row>
    <row r="2">
      <c r="A2" s="3" t="s">
        <v>5</v>
      </c>
      <c r="B2" s="4" t="s">
        <v>6</v>
      </c>
      <c r="C2" s="5"/>
      <c r="D2" s="3" t="s">
        <v>7</v>
      </c>
      <c r="E2" s="4" t="s">
        <v>8</v>
      </c>
      <c r="F2" s="5"/>
      <c r="G2" s="4" t="s">
        <v>9</v>
      </c>
      <c r="H2" s="4" t="s">
        <v>10</v>
      </c>
      <c r="I2" s="3" t="s">
        <v>11</v>
      </c>
      <c r="J2" s="4" t="s">
        <v>12</v>
      </c>
      <c r="K2" s="3" t="s">
        <v>13</v>
      </c>
      <c r="L2" s="4" t="s">
        <v>14</v>
      </c>
      <c r="M2" s="3"/>
      <c r="N2" s="3"/>
      <c r="O2" s="3"/>
      <c r="P2" s="3"/>
      <c r="Q2" s="3"/>
      <c r="R2" s="3"/>
      <c r="S2" s="3"/>
      <c r="T2" s="3"/>
      <c r="U2" s="3"/>
      <c r="V2" s="3"/>
      <c r="W2" s="3"/>
      <c r="X2" s="3"/>
      <c r="Y2" s="3"/>
      <c r="Z2" s="3"/>
    </row>
    <row r="3">
      <c r="A3" s="3" t="s">
        <v>15</v>
      </c>
      <c r="B3" s="4" t="s">
        <v>16</v>
      </c>
      <c r="C3" s="5"/>
      <c r="D3" s="3" t="s">
        <v>17</v>
      </c>
      <c r="E3" s="4" t="s">
        <v>18</v>
      </c>
      <c r="F3" s="5"/>
      <c r="G3" s="4" t="s">
        <v>19</v>
      </c>
      <c r="H3" s="4" t="s">
        <v>20</v>
      </c>
      <c r="I3" s="3" t="s">
        <v>21</v>
      </c>
      <c r="J3" s="4" t="s">
        <v>22</v>
      </c>
      <c r="K3" s="4" t="s">
        <v>23</v>
      </c>
      <c r="L3" s="4" t="s">
        <v>24</v>
      </c>
      <c r="M3" s="3"/>
      <c r="N3" s="3"/>
      <c r="O3" s="3"/>
      <c r="P3" s="3"/>
      <c r="Q3" s="3"/>
      <c r="R3" s="3"/>
      <c r="S3" s="3"/>
      <c r="T3" s="3"/>
      <c r="U3" s="3"/>
      <c r="V3" s="3"/>
      <c r="W3" s="3"/>
      <c r="X3" s="3"/>
      <c r="Y3" s="3"/>
      <c r="Z3" s="3"/>
    </row>
    <row r="4">
      <c r="A4" s="3" t="s">
        <v>25</v>
      </c>
      <c r="B4" s="4" t="s">
        <v>26</v>
      </c>
      <c r="C4" s="5"/>
      <c r="D4" s="3" t="s">
        <v>27</v>
      </c>
      <c r="E4" s="4" t="s">
        <v>28</v>
      </c>
      <c r="F4" s="5"/>
      <c r="G4" s="4" t="s">
        <v>29</v>
      </c>
      <c r="H4" s="4" t="s">
        <v>30</v>
      </c>
      <c r="I4" s="3" t="s">
        <v>31</v>
      </c>
      <c r="J4" s="4" t="s">
        <v>32</v>
      </c>
      <c r="K4" s="3" t="s">
        <v>33</v>
      </c>
      <c r="L4" s="4" t="s">
        <v>34</v>
      </c>
      <c r="M4" s="3"/>
      <c r="N4" s="3"/>
      <c r="O4" s="3"/>
      <c r="P4" s="3"/>
      <c r="Q4" s="3"/>
      <c r="R4" s="3"/>
      <c r="S4" s="3"/>
      <c r="T4" s="3"/>
      <c r="U4" s="3"/>
      <c r="V4" s="3"/>
      <c r="W4" s="3"/>
      <c r="X4" s="3"/>
      <c r="Y4" s="3"/>
      <c r="Z4" s="3"/>
    </row>
    <row r="5">
      <c r="A5" s="3" t="s">
        <v>35</v>
      </c>
      <c r="B5" s="4" t="s">
        <v>36</v>
      </c>
      <c r="C5" s="5"/>
      <c r="D5" s="3" t="s">
        <v>37</v>
      </c>
      <c r="E5" s="4" t="s">
        <v>38</v>
      </c>
      <c r="F5" s="5"/>
      <c r="G5" s="4" t="s">
        <v>39</v>
      </c>
      <c r="H5" s="4" t="s">
        <v>40</v>
      </c>
      <c r="I5" s="6"/>
      <c r="J5" s="6"/>
      <c r="K5" s="3" t="s">
        <v>41</v>
      </c>
      <c r="L5" s="4" t="s">
        <v>42</v>
      </c>
      <c r="M5" s="3"/>
      <c r="N5" s="3"/>
      <c r="O5" s="3"/>
      <c r="P5" s="3"/>
      <c r="Q5" s="3"/>
      <c r="R5" s="3"/>
      <c r="S5" s="3"/>
      <c r="T5" s="3"/>
      <c r="U5" s="3"/>
      <c r="V5" s="3"/>
      <c r="W5" s="3"/>
      <c r="X5" s="3"/>
      <c r="Y5" s="3"/>
      <c r="Z5" s="3"/>
    </row>
    <row r="6">
      <c r="A6" s="3" t="s">
        <v>43</v>
      </c>
      <c r="B6" s="4" t="s">
        <v>44</v>
      </c>
      <c r="C6" s="5"/>
      <c r="D6" s="6"/>
      <c r="E6" s="6"/>
      <c r="F6" s="5"/>
      <c r="G6" s="4" t="s">
        <v>45</v>
      </c>
      <c r="H6" s="4" t="s">
        <v>46</v>
      </c>
      <c r="I6" s="6"/>
      <c r="J6" s="6"/>
      <c r="K6" s="3" t="s">
        <v>47</v>
      </c>
      <c r="L6" s="4" t="s">
        <v>48</v>
      </c>
      <c r="M6" s="3"/>
      <c r="N6" s="3"/>
      <c r="O6" s="3"/>
      <c r="P6" s="3"/>
      <c r="Q6" s="3"/>
      <c r="R6" s="3"/>
      <c r="S6" s="3"/>
      <c r="T6" s="3"/>
      <c r="U6" s="3"/>
      <c r="V6" s="3"/>
      <c r="W6" s="3"/>
      <c r="X6" s="3"/>
      <c r="Y6" s="3"/>
      <c r="Z6" s="3"/>
    </row>
    <row r="7">
      <c r="A7" s="3" t="s">
        <v>49</v>
      </c>
      <c r="B7" s="4" t="s">
        <v>50</v>
      </c>
      <c r="C7" s="5"/>
      <c r="D7" s="6"/>
      <c r="E7" s="6"/>
      <c r="F7" s="5"/>
      <c r="G7" s="4" t="s">
        <v>51</v>
      </c>
      <c r="H7" s="4" t="s">
        <v>52</v>
      </c>
      <c r="I7" s="6"/>
      <c r="J7" s="6"/>
      <c r="K7" s="4" t="s">
        <v>53</v>
      </c>
      <c r="L7" s="4" t="s">
        <v>54</v>
      </c>
      <c r="M7" s="3"/>
      <c r="N7" s="3"/>
      <c r="O7" s="3"/>
      <c r="P7" s="3"/>
      <c r="Q7" s="3"/>
      <c r="R7" s="3"/>
      <c r="S7" s="3"/>
      <c r="T7" s="3"/>
      <c r="U7" s="3"/>
      <c r="V7" s="3"/>
      <c r="W7" s="3"/>
      <c r="X7" s="3"/>
      <c r="Y7" s="3"/>
      <c r="Z7" s="3"/>
    </row>
    <row r="8">
      <c r="A8" s="3" t="s">
        <v>55</v>
      </c>
      <c r="B8" s="4" t="s">
        <v>56</v>
      </c>
      <c r="C8" s="5"/>
      <c r="D8" s="6"/>
      <c r="E8" s="6"/>
      <c r="F8" s="5"/>
      <c r="G8" s="4" t="s">
        <v>57</v>
      </c>
      <c r="H8" s="4" t="s">
        <v>58</v>
      </c>
      <c r="I8" s="6"/>
      <c r="J8" s="6"/>
      <c r="K8" s="3"/>
      <c r="L8" s="3"/>
      <c r="M8" s="3"/>
      <c r="N8" s="3"/>
      <c r="O8" s="3"/>
      <c r="P8" s="3"/>
      <c r="Q8" s="3"/>
      <c r="R8" s="3"/>
      <c r="S8" s="3"/>
      <c r="T8" s="3"/>
      <c r="U8" s="3"/>
      <c r="V8" s="3"/>
      <c r="W8" s="3"/>
      <c r="X8" s="3"/>
      <c r="Y8" s="3"/>
      <c r="Z8" s="3"/>
    </row>
    <row r="9">
      <c r="A9" s="3" t="s">
        <v>59</v>
      </c>
      <c r="B9" s="4" t="s">
        <v>60</v>
      </c>
      <c r="C9" s="5"/>
      <c r="D9" s="6"/>
      <c r="E9" s="6"/>
      <c r="F9" s="5"/>
      <c r="G9" s="4" t="s">
        <v>61</v>
      </c>
      <c r="H9" s="4" t="s">
        <v>62</v>
      </c>
      <c r="I9" s="6"/>
      <c r="J9" s="6"/>
      <c r="K9" s="3"/>
      <c r="L9" s="3"/>
      <c r="M9" s="3"/>
      <c r="N9" s="3"/>
      <c r="O9" s="3"/>
      <c r="P9" s="3"/>
      <c r="Q9" s="3"/>
      <c r="R9" s="3"/>
      <c r="S9" s="3"/>
      <c r="T9" s="3"/>
      <c r="U9" s="3"/>
      <c r="V9" s="3"/>
      <c r="W9" s="3"/>
      <c r="X9" s="3"/>
      <c r="Y9" s="3"/>
      <c r="Z9" s="3"/>
    </row>
    <row r="10">
      <c r="A10" s="3" t="s">
        <v>63</v>
      </c>
      <c r="B10" s="4" t="s">
        <v>64</v>
      </c>
      <c r="C10" s="7"/>
      <c r="D10" s="6"/>
      <c r="E10" s="6"/>
      <c r="F10" s="7"/>
      <c r="G10" s="4" t="s">
        <v>65</v>
      </c>
      <c r="H10" s="4" t="s">
        <v>66</v>
      </c>
      <c r="I10" s="6"/>
      <c r="J10" s="6"/>
      <c r="K10" s="3"/>
      <c r="L10" s="3"/>
      <c r="M10" s="3"/>
      <c r="N10" s="3"/>
      <c r="O10" s="3"/>
      <c r="P10" s="3"/>
      <c r="Q10" s="3"/>
      <c r="R10" s="3"/>
      <c r="S10" s="3"/>
      <c r="T10" s="3"/>
      <c r="U10" s="3"/>
      <c r="V10" s="3"/>
      <c r="W10" s="3"/>
      <c r="X10" s="3"/>
      <c r="Y10" s="3"/>
      <c r="Z10" s="3"/>
    </row>
    <row r="11">
      <c r="A11" s="4" t="s">
        <v>67</v>
      </c>
      <c r="B11" s="4" t="s">
        <v>68</v>
      </c>
      <c r="C11" s="7"/>
      <c r="D11" s="6"/>
      <c r="E11" s="6"/>
      <c r="F11" s="7"/>
      <c r="G11" s="4" t="s">
        <v>69</v>
      </c>
      <c r="H11" s="4" t="s">
        <v>70</v>
      </c>
      <c r="I11" s="6"/>
      <c r="J11" s="6"/>
      <c r="K11" s="3"/>
      <c r="L11" s="3"/>
      <c r="M11" s="3"/>
      <c r="N11" s="3"/>
      <c r="O11" s="3"/>
      <c r="P11" s="3"/>
      <c r="Q11" s="3"/>
      <c r="R11" s="3"/>
      <c r="S11" s="3"/>
      <c r="T11" s="3"/>
      <c r="U11" s="3"/>
      <c r="V11" s="3"/>
      <c r="W11" s="3"/>
      <c r="X11" s="3"/>
      <c r="Y11" s="3"/>
      <c r="Z11" s="3"/>
    </row>
    <row r="12">
      <c r="A12" s="3" t="s">
        <v>71</v>
      </c>
      <c r="B12" s="4" t="s">
        <v>72</v>
      </c>
      <c r="C12" s="7"/>
      <c r="D12" s="6"/>
      <c r="E12" s="6"/>
      <c r="F12" s="7"/>
      <c r="G12" s="4" t="s">
        <v>73</v>
      </c>
      <c r="H12" s="4" t="s">
        <v>74</v>
      </c>
      <c r="I12" s="6"/>
      <c r="J12" s="6"/>
      <c r="K12" s="3"/>
      <c r="L12" s="3"/>
      <c r="M12" s="3"/>
      <c r="N12" s="3"/>
      <c r="O12" s="3"/>
      <c r="P12" s="3"/>
      <c r="Q12" s="3"/>
      <c r="R12" s="3"/>
      <c r="S12" s="3"/>
      <c r="T12" s="3"/>
      <c r="U12" s="3"/>
      <c r="V12" s="3"/>
      <c r="W12" s="3"/>
      <c r="X12" s="3"/>
      <c r="Y12" s="3"/>
      <c r="Z12" s="3"/>
    </row>
    <row r="13">
      <c r="A13" s="3" t="s">
        <v>75</v>
      </c>
      <c r="B13" s="4" t="s">
        <v>76</v>
      </c>
      <c r="C13" s="7"/>
      <c r="D13" s="6"/>
      <c r="E13" s="6"/>
      <c r="F13" s="7"/>
      <c r="G13" s="4" t="s">
        <v>77</v>
      </c>
      <c r="H13" s="4" t="s">
        <v>78</v>
      </c>
      <c r="I13" s="6"/>
      <c r="J13" s="6"/>
      <c r="K13" s="3"/>
      <c r="L13" s="3"/>
      <c r="M13" s="3"/>
      <c r="N13" s="3"/>
      <c r="O13" s="3"/>
      <c r="P13" s="3"/>
      <c r="Q13" s="3"/>
      <c r="R13" s="3"/>
      <c r="S13" s="3"/>
      <c r="T13" s="3"/>
      <c r="U13" s="3"/>
      <c r="V13" s="3"/>
      <c r="W13" s="3"/>
      <c r="X13" s="3"/>
      <c r="Y13" s="3"/>
      <c r="Z13" s="3"/>
    </row>
    <row r="14">
      <c r="A14" s="6"/>
      <c r="B14" s="6"/>
      <c r="C14" s="7"/>
      <c r="D14" s="6"/>
      <c r="E14" s="6"/>
      <c r="F14" s="7"/>
      <c r="G14" s="4" t="s">
        <v>79</v>
      </c>
      <c r="H14" s="4" t="s">
        <v>81</v>
      </c>
      <c r="I14" s="6"/>
      <c r="J14" s="6"/>
      <c r="K14" s="3"/>
      <c r="L14" s="3"/>
      <c r="M14" s="3"/>
      <c r="N14" s="3"/>
      <c r="O14" s="3"/>
      <c r="P14" s="3"/>
      <c r="Q14" s="3"/>
      <c r="R14" s="3"/>
      <c r="S14" s="3"/>
      <c r="T14" s="3"/>
      <c r="U14" s="3"/>
      <c r="V14" s="3"/>
      <c r="W14" s="3"/>
      <c r="X14" s="3"/>
      <c r="Y14" s="3"/>
      <c r="Z14" s="3"/>
    </row>
    <row r="15">
      <c r="A15" s="6"/>
      <c r="B15" s="6"/>
      <c r="C15" s="7"/>
      <c r="D15" s="6"/>
      <c r="E15" s="6"/>
      <c r="F15" s="7"/>
      <c r="G15" s="4" t="s">
        <v>82</v>
      </c>
      <c r="H15" s="4" t="s">
        <v>83</v>
      </c>
      <c r="I15" s="6"/>
      <c r="J15" s="6"/>
      <c r="K15" s="3"/>
      <c r="L15" s="3"/>
      <c r="M15" s="3"/>
      <c r="N15" s="3"/>
      <c r="O15" s="3"/>
      <c r="P15" s="3"/>
      <c r="Q15" s="3"/>
      <c r="R15" s="3"/>
      <c r="S15" s="3"/>
      <c r="T15" s="3"/>
      <c r="U15" s="3"/>
      <c r="V15" s="3"/>
      <c r="W15" s="3"/>
      <c r="X15" s="3"/>
      <c r="Y15" s="3"/>
      <c r="Z15" s="3"/>
    </row>
    <row r="16">
      <c r="A16" s="6"/>
      <c r="B16" s="6"/>
      <c r="C16" s="7"/>
      <c r="D16" s="6"/>
      <c r="E16" s="6"/>
      <c r="F16" s="7"/>
      <c r="G16" s="4" t="s">
        <v>84</v>
      </c>
      <c r="H16" s="4" t="s">
        <v>85</v>
      </c>
      <c r="I16" s="6"/>
      <c r="J16" s="6"/>
      <c r="K16" s="3"/>
      <c r="L16" s="3"/>
      <c r="M16" s="3"/>
      <c r="N16" s="3"/>
      <c r="O16" s="3"/>
      <c r="P16" s="3"/>
      <c r="Q16" s="3"/>
      <c r="R16" s="3"/>
      <c r="S16" s="3"/>
      <c r="T16" s="3"/>
      <c r="U16" s="3"/>
      <c r="V16" s="3"/>
      <c r="W16" s="3"/>
      <c r="X16" s="3"/>
      <c r="Y16" s="3"/>
      <c r="Z16" s="3"/>
    </row>
    <row r="17">
      <c r="A17" s="6"/>
      <c r="B17" s="6"/>
      <c r="C17" s="7"/>
      <c r="D17" s="6"/>
      <c r="E17" s="6"/>
      <c r="F17" s="7"/>
      <c r="G17" s="4" t="s">
        <v>87</v>
      </c>
      <c r="H17" s="4" t="s">
        <v>88</v>
      </c>
      <c r="I17" s="6"/>
      <c r="J17" s="6"/>
      <c r="K17" s="3"/>
      <c r="L17" s="3"/>
      <c r="M17" s="3"/>
      <c r="N17" s="3"/>
      <c r="O17" s="3"/>
      <c r="P17" s="3"/>
      <c r="Q17" s="3"/>
      <c r="R17" s="3"/>
      <c r="S17" s="3"/>
      <c r="T17" s="3"/>
      <c r="U17" s="3"/>
      <c r="V17" s="3"/>
      <c r="W17" s="3"/>
      <c r="X17" s="3"/>
      <c r="Y17" s="3"/>
      <c r="Z17" s="3"/>
    </row>
    <row r="18">
      <c r="A18" s="6"/>
      <c r="B18" s="6"/>
      <c r="C18" s="7"/>
      <c r="D18" s="6"/>
      <c r="E18" s="6"/>
      <c r="F18" s="7"/>
      <c r="G18" s="4" t="s">
        <v>89</v>
      </c>
      <c r="H18" s="4" t="s">
        <v>90</v>
      </c>
      <c r="I18" s="6"/>
      <c r="J18" s="6"/>
      <c r="K18" s="3"/>
      <c r="L18" s="3"/>
      <c r="M18" s="3"/>
      <c r="N18" s="3"/>
      <c r="O18" s="3"/>
      <c r="P18" s="3"/>
      <c r="Q18" s="3"/>
      <c r="R18" s="3"/>
      <c r="S18" s="3"/>
      <c r="T18" s="3"/>
      <c r="U18" s="3"/>
      <c r="V18" s="3"/>
      <c r="W18" s="3"/>
      <c r="X18" s="3"/>
      <c r="Y18" s="3"/>
      <c r="Z18" s="3"/>
    </row>
    <row r="19">
      <c r="A19" s="6"/>
      <c r="B19" s="6"/>
      <c r="C19" s="7"/>
      <c r="D19" s="6"/>
      <c r="E19" s="6"/>
      <c r="F19" s="7"/>
      <c r="G19" s="4" t="s">
        <v>91</v>
      </c>
      <c r="H19" s="4" t="s">
        <v>92</v>
      </c>
      <c r="I19" s="6"/>
      <c r="J19" s="6"/>
      <c r="K19" s="3"/>
      <c r="L19" s="3"/>
      <c r="M19" s="3"/>
      <c r="N19" s="3"/>
      <c r="O19" s="3"/>
      <c r="P19" s="3"/>
      <c r="Q19" s="3"/>
      <c r="R19" s="3"/>
      <c r="S19" s="3"/>
      <c r="T19" s="3"/>
      <c r="U19" s="3"/>
      <c r="V19" s="3"/>
      <c r="W19" s="3"/>
      <c r="X19" s="3"/>
      <c r="Y19" s="3"/>
      <c r="Z19" s="3"/>
    </row>
    <row r="20">
      <c r="A20" s="6"/>
      <c r="B20" s="6"/>
      <c r="C20" s="7"/>
      <c r="D20" s="6"/>
      <c r="E20" s="6"/>
      <c r="F20" s="7"/>
      <c r="G20" s="4" t="s">
        <v>93</v>
      </c>
      <c r="H20" s="4" t="s">
        <v>95</v>
      </c>
      <c r="I20" s="6"/>
      <c r="J20" s="6"/>
      <c r="K20" s="3"/>
      <c r="L20" s="3"/>
      <c r="M20" s="3"/>
      <c r="N20" s="3"/>
      <c r="O20" s="3"/>
      <c r="P20" s="3"/>
      <c r="Q20" s="3"/>
      <c r="R20" s="3"/>
      <c r="S20" s="3"/>
      <c r="T20" s="3"/>
      <c r="U20" s="3"/>
      <c r="V20" s="3"/>
      <c r="W20" s="3"/>
      <c r="X20" s="3"/>
      <c r="Y20" s="3"/>
      <c r="Z20" s="3"/>
    </row>
    <row r="21" ht="15.75" customHeight="1">
      <c r="A21" s="6"/>
      <c r="B21" s="6"/>
      <c r="C21" s="7"/>
      <c r="D21" s="6"/>
      <c r="E21" s="6"/>
      <c r="F21" s="7"/>
      <c r="G21" s="4" t="s">
        <v>96</v>
      </c>
      <c r="H21" s="4" t="s">
        <v>98</v>
      </c>
      <c r="I21" s="6"/>
      <c r="J21" s="6"/>
      <c r="K21" s="3"/>
      <c r="L21" s="3"/>
      <c r="M21" s="3"/>
      <c r="N21" s="3"/>
      <c r="O21" s="3"/>
      <c r="P21" s="3"/>
      <c r="Q21" s="3"/>
      <c r="R21" s="3"/>
      <c r="S21" s="3"/>
      <c r="T21" s="3"/>
      <c r="U21" s="3"/>
      <c r="V21" s="3"/>
      <c r="W21" s="3"/>
      <c r="X21" s="3"/>
      <c r="Y21" s="3"/>
      <c r="Z21" s="3"/>
    </row>
    <row r="22" ht="15.75" customHeight="1">
      <c r="A22" s="6"/>
      <c r="B22" s="6"/>
      <c r="C22" s="7"/>
      <c r="D22" s="6"/>
      <c r="E22" s="6"/>
      <c r="F22" s="7"/>
      <c r="G22" s="4" t="s">
        <v>99</v>
      </c>
      <c r="H22" s="4" t="s">
        <v>101</v>
      </c>
      <c r="I22" s="6"/>
      <c r="J22" s="6"/>
      <c r="K22" s="3"/>
      <c r="L22" s="3"/>
      <c r="M22" s="3"/>
      <c r="N22" s="3"/>
      <c r="O22" s="3"/>
      <c r="P22" s="3"/>
      <c r="Q22" s="3"/>
      <c r="R22" s="3"/>
      <c r="S22" s="3"/>
      <c r="T22" s="3"/>
      <c r="U22" s="3"/>
      <c r="V22" s="3"/>
      <c r="W22" s="3"/>
      <c r="X22" s="3"/>
      <c r="Y22" s="3"/>
      <c r="Z22" s="3"/>
    </row>
    <row r="23" ht="15.75" customHeight="1">
      <c r="A23" s="6"/>
      <c r="B23" s="6"/>
      <c r="C23" s="7"/>
      <c r="D23" s="6"/>
      <c r="E23" s="6"/>
      <c r="F23" s="7"/>
      <c r="G23" s="4" t="s">
        <v>102</v>
      </c>
      <c r="H23" s="4" t="s">
        <v>103</v>
      </c>
      <c r="I23" s="6"/>
      <c r="J23" s="6"/>
      <c r="K23" s="3"/>
      <c r="L23" s="3"/>
      <c r="M23" s="3"/>
      <c r="N23" s="3"/>
      <c r="O23" s="3"/>
      <c r="P23" s="3"/>
      <c r="Q23" s="3"/>
      <c r="R23" s="3"/>
      <c r="S23" s="3"/>
      <c r="T23" s="3"/>
      <c r="U23" s="3"/>
      <c r="V23" s="3"/>
      <c r="W23" s="3"/>
      <c r="X23" s="3"/>
      <c r="Y23" s="3"/>
      <c r="Z23" s="3"/>
    </row>
    <row r="24" ht="15.75" customHeight="1">
      <c r="A24" s="6"/>
      <c r="B24" s="6"/>
      <c r="C24" s="7"/>
      <c r="D24" s="6"/>
      <c r="E24" s="6"/>
      <c r="F24" s="7"/>
      <c r="G24" s="4" t="s">
        <v>104</v>
      </c>
      <c r="H24" s="4" t="s">
        <v>72</v>
      </c>
      <c r="I24" s="6"/>
      <c r="J24" s="6"/>
      <c r="K24" s="3"/>
      <c r="L24" s="3"/>
      <c r="M24" s="3"/>
      <c r="N24" s="3"/>
      <c r="O24" s="3"/>
      <c r="P24" s="3"/>
      <c r="Q24" s="3"/>
      <c r="R24" s="3"/>
      <c r="S24" s="3"/>
      <c r="T24" s="3"/>
      <c r="U24" s="3"/>
      <c r="V24" s="3"/>
      <c r="W24" s="3"/>
      <c r="X24" s="3"/>
      <c r="Y24" s="3"/>
      <c r="Z24" s="3"/>
    </row>
    <row r="25" ht="15.75" customHeight="1">
      <c r="A25" s="6"/>
      <c r="B25" s="6"/>
      <c r="C25" s="7"/>
      <c r="D25" s="6"/>
      <c r="E25" s="6"/>
      <c r="F25" s="7"/>
      <c r="G25" s="4" t="s">
        <v>105</v>
      </c>
      <c r="H25" s="4" t="s">
        <v>106</v>
      </c>
      <c r="I25" s="6"/>
      <c r="J25" s="6"/>
      <c r="K25" s="3"/>
      <c r="L25" s="3"/>
      <c r="M25" s="3"/>
      <c r="N25" s="3"/>
      <c r="O25" s="3"/>
      <c r="P25" s="3"/>
      <c r="Q25" s="3"/>
      <c r="R25" s="3"/>
      <c r="S25" s="3"/>
      <c r="T25" s="3"/>
      <c r="U25" s="3"/>
      <c r="V25" s="3"/>
      <c r="W25" s="3"/>
      <c r="X25" s="3"/>
      <c r="Y25" s="3"/>
      <c r="Z25" s="3"/>
    </row>
    <row r="26" ht="15.75" customHeight="1">
      <c r="A26" s="6"/>
      <c r="B26" s="6"/>
      <c r="C26" s="7"/>
      <c r="D26" s="6"/>
      <c r="E26" s="6"/>
      <c r="F26" s="7"/>
      <c r="G26" s="4" t="s">
        <v>107</v>
      </c>
      <c r="H26" s="4" t="s">
        <v>108</v>
      </c>
      <c r="I26" s="6"/>
      <c r="J26" s="6"/>
      <c r="K26" s="3"/>
      <c r="L26" s="3"/>
      <c r="M26" s="3"/>
      <c r="N26" s="3"/>
      <c r="O26" s="3"/>
      <c r="P26" s="3"/>
      <c r="Q26" s="3"/>
      <c r="R26" s="3"/>
      <c r="S26" s="3"/>
      <c r="T26" s="3"/>
      <c r="U26" s="3"/>
      <c r="V26" s="3"/>
      <c r="W26" s="3"/>
      <c r="X26" s="3"/>
      <c r="Y26" s="3"/>
      <c r="Z26" s="3"/>
    </row>
    <row r="27" ht="15.75" customHeight="1">
      <c r="A27" s="6"/>
      <c r="B27" s="6"/>
      <c r="C27" s="7"/>
      <c r="D27" s="6"/>
      <c r="E27" s="6"/>
      <c r="F27" s="7"/>
      <c r="G27" s="4" t="s">
        <v>109</v>
      </c>
      <c r="H27" s="4" t="s">
        <v>110</v>
      </c>
      <c r="I27" s="6"/>
      <c r="J27" s="6"/>
      <c r="K27" s="3"/>
      <c r="L27" s="3"/>
      <c r="M27" s="3"/>
      <c r="N27" s="3"/>
      <c r="O27" s="3"/>
      <c r="P27" s="3"/>
      <c r="Q27" s="3"/>
      <c r="R27" s="3"/>
      <c r="S27" s="3"/>
      <c r="T27" s="3"/>
      <c r="U27" s="3"/>
      <c r="V27" s="3"/>
      <c r="W27" s="3"/>
      <c r="X27" s="3"/>
      <c r="Y27" s="3"/>
      <c r="Z27" s="3"/>
    </row>
    <row r="28" ht="15.75" customHeight="1">
      <c r="A28" s="6"/>
      <c r="B28" s="6"/>
      <c r="C28" s="7"/>
      <c r="D28" s="6"/>
      <c r="E28" s="6"/>
      <c r="F28" s="7"/>
      <c r="G28" s="4" t="s">
        <v>111</v>
      </c>
      <c r="H28" s="4" t="s">
        <v>112</v>
      </c>
      <c r="I28" s="6"/>
      <c r="J28" s="6"/>
      <c r="K28" s="3"/>
      <c r="L28" s="3"/>
      <c r="M28" s="3"/>
      <c r="N28" s="3"/>
      <c r="O28" s="3"/>
      <c r="P28" s="3"/>
      <c r="Q28" s="3"/>
      <c r="R28" s="3"/>
      <c r="S28" s="3"/>
      <c r="T28" s="3"/>
      <c r="U28" s="3"/>
      <c r="V28" s="3"/>
      <c r="W28" s="3"/>
      <c r="X28" s="3"/>
      <c r="Y28" s="3"/>
      <c r="Z28" s="3"/>
    </row>
    <row r="29" ht="15.75" customHeight="1">
      <c r="A29" s="6"/>
      <c r="B29" s="6"/>
      <c r="C29" s="7"/>
      <c r="D29" s="6"/>
      <c r="E29" s="6"/>
      <c r="F29" s="7"/>
      <c r="G29" s="4" t="s">
        <v>113</v>
      </c>
      <c r="H29" s="4" t="s">
        <v>114</v>
      </c>
      <c r="I29" s="6"/>
      <c r="J29" s="6"/>
      <c r="K29" s="3"/>
      <c r="L29" s="3"/>
      <c r="M29" s="3"/>
      <c r="N29" s="3"/>
      <c r="O29" s="3"/>
      <c r="P29" s="3"/>
      <c r="Q29" s="3"/>
      <c r="R29" s="3"/>
      <c r="S29" s="3"/>
      <c r="T29" s="3"/>
      <c r="U29" s="3"/>
      <c r="V29" s="3"/>
      <c r="W29" s="3"/>
      <c r="X29" s="3"/>
      <c r="Y29" s="3"/>
      <c r="Z29" s="3"/>
    </row>
    <row r="30" ht="15.75" customHeight="1">
      <c r="A30" s="6"/>
      <c r="B30" s="6"/>
      <c r="C30" s="7"/>
      <c r="D30" s="6"/>
      <c r="E30" s="6"/>
      <c r="F30" s="7"/>
      <c r="G30" s="4" t="s">
        <v>116</v>
      </c>
      <c r="H30" s="4" t="s">
        <v>117</v>
      </c>
      <c r="I30" s="6"/>
      <c r="J30" s="6"/>
      <c r="K30" s="3"/>
      <c r="L30" s="3"/>
      <c r="M30" s="3"/>
      <c r="N30" s="3"/>
      <c r="O30" s="3"/>
      <c r="P30" s="3"/>
      <c r="Q30" s="3"/>
      <c r="R30" s="3"/>
      <c r="S30" s="3"/>
      <c r="T30" s="3"/>
      <c r="U30" s="3"/>
      <c r="V30" s="3"/>
      <c r="W30" s="3"/>
      <c r="X30" s="3"/>
      <c r="Y30" s="3"/>
      <c r="Z30" s="3"/>
    </row>
    <row r="31" ht="15.75" customHeight="1">
      <c r="A31" s="6"/>
      <c r="B31" s="6"/>
      <c r="C31" s="7"/>
      <c r="D31" s="6"/>
      <c r="E31" s="6"/>
      <c r="F31" s="7"/>
      <c r="G31" s="4" t="s">
        <v>118</v>
      </c>
      <c r="H31" s="4" t="s">
        <v>120</v>
      </c>
      <c r="I31" s="6"/>
      <c r="J31" s="6"/>
      <c r="K31" s="3"/>
      <c r="L31" s="3"/>
      <c r="M31" s="3"/>
      <c r="N31" s="3"/>
      <c r="O31" s="3"/>
      <c r="P31" s="3"/>
      <c r="Q31" s="3"/>
      <c r="R31" s="3"/>
      <c r="S31" s="3"/>
      <c r="T31" s="3"/>
      <c r="U31" s="3"/>
      <c r="V31" s="3"/>
      <c r="W31" s="3"/>
      <c r="X31" s="3"/>
      <c r="Y31" s="3"/>
      <c r="Z31" s="3"/>
    </row>
    <row r="32" ht="15.75" customHeight="1">
      <c r="A32" s="6"/>
      <c r="B32" s="6"/>
      <c r="C32" s="7"/>
      <c r="D32" s="6"/>
      <c r="E32" s="6"/>
      <c r="F32" s="7"/>
      <c r="G32" s="4" t="s">
        <v>121</v>
      </c>
      <c r="H32" s="4" t="s">
        <v>122</v>
      </c>
      <c r="I32" s="6"/>
      <c r="J32" s="6"/>
      <c r="K32" s="3"/>
      <c r="L32" s="3"/>
      <c r="M32" s="3"/>
      <c r="N32" s="3"/>
      <c r="O32" s="3"/>
      <c r="P32" s="3"/>
      <c r="Q32" s="3"/>
      <c r="R32" s="3"/>
      <c r="S32" s="3"/>
      <c r="T32" s="3"/>
      <c r="U32" s="3"/>
      <c r="V32" s="3"/>
      <c r="W32" s="3"/>
      <c r="X32" s="3"/>
      <c r="Y32" s="3"/>
      <c r="Z32" s="3"/>
    </row>
    <row r="33" ht="15.75" customHeight="1">
      <c r="A33" s="6"/>
      <c r="B33" s="6"/>
      <c r="C33" s="7"/>
      <c r="D33" s="6"/>
      <c r="E33" s="6"/>
      <c r="F33" s="7"/>
      <c r="G33" s="4" t="s">
        <v>123</v>
      </c>
      <c r="H33" s="4" t="s">
        <v>125</v>
      </c>
      <c r="I33" s="6"/>
      <c r="J33" s="6"/>
      <c r="K33" s="3"/>
      <c r="L33" s="3"/>
      <c r="M33" s="3"/>
      <c r="N33" s="3"/>
      <c r="O33" s="3"/>
      <c r="P33" s="3"/>
      <c r="Q33" s="3"/>
      <c r="R33" s="3"/>
      <c r="S33" s="3"/>
      <c r="T33" s="3"/>
      <c r="U33" s="3"/>
      <c r="V33" s="3"/>
      <c r="W33" s="3"/>
      <c r="X33" s="3"/>
      <c r="Y33" s="3"/>
      <c r="Z33" s="3"/>
    </row>
    <row r="34" ht="15.75" customHeight="1">
      <c r="A34" s="6"/>
      <c r="B34" s="6"/>
      <c r="C34" s="7"/>
      <c r="D34" s="6"/>
      <c r="E34" s="6"/>
      <c r="F34" s="7"/>
      <c r="G34" s="4" t="s">
        <v>126</v>
      </c>
      <c r="H34" s="4" t="s">
        <v>129</v>
      </c>
      <c r="I34" s="6"/>
      <c r="J34" s="6"/>
      <c r="K34" s="3"/>
      <c r="L34" s="3"/>
      <c r="M34" s="3"/>
      <c r="N34" s="3"/>
      <c r="O34" s="3"/>
      <c r="P34" s="3"/>
      <c r="Q34" s="3"/>
      <c r="R34" s="3"/>
      <c r="S34" s="3"/>
      <c r="T34" s="3"/>
      <c r="U34" s="3"/>
      <c r="V34" s="3"/>
      <c r="W34" s="3"/>
      <c r="X34" s="3"/>
      <c r="Y34" s="3"/>
      <c r="Z34" s="3"/>
    </row>
    <row r="35" ht="15.75" customHeight="1">
      <c r="A35" s="6"/>
      <c r="B35" s="6"/>
      <c r="C35" s="7"/>
      <c r="D35" s="6"/>
      <c r="E35" s="6"/>
      <c r="F35" s="7"/>
      <c r="G35" s="4" t="s">
        <v>130</v>
      </c>
      <c r="H35" s="4" t="s">
        <v>132</v>
      </c>
      <c r="I35" s="6"/>
      <c r="J35" s="6"/>
      <c r="K35" s="3"/>
      <c r="L35" s="3"/>
      <c r="M35" s="3"/>
      <c r="N35" s="3"/>
      <c r="O35" s="3"/>
      <c r="P35" s="3"/>
      <c r="Q35" s="3"/>
      <c r="R35" s="3"/>
      <c r="S35" s="3"/>
      <c r="T35" s="3"/>
      <c r="U35" s="3"/>
      <c r="V35" s="3"/>
      <c r="W35" s="3"/>
      <c r="X35" s="3"/>
      <c r="Y35" s="3"/>
      <c r="Z35" s="3"/>
    </row>
    <row r="36" ht="15.75" customHeight="1">
      <c r="A36" s="6"/>
      <c r="B36" s="6"/>
      <c r="C36" s="7"/>
      <c r="D36" s="6"/>
      <c r="E36" s="6"/>
      <c r="F36" s="7"/>
      <c r="G36" s="4" t="s">
        <v>133</v>
      </c>
      <c r="H36" s="4" t="s">
        <v>135</v>
      </c>
      <c r="I36" s="6"/>
      <c r="J36" s="6"/>
      <c r="K36" s="3"/>
      <c r="L36" s="3"/>
      <c r="M36" s="3"/>
      <c r="N36" s="3"/>
      <c r="O36" s="3"/>
      <c r="P36" s="3"/>
      <c r="Q36" s="3"/>
      <c r="R36" s="3"/>
      <c r="S36" s="3"/>
      <c r="T36" s="3"/>
      <c r="U36" s="3"/>
      <c r="V36" s="3"/>
      <c r="W36" s="3"/>
      <c r="X36" s="3"/>
      <c r="Y36" s="3"/>
      <c r="Z36" s="3"/>
    </row>
    <row r="37" ht="15.75" customHeight="1">
      <c r="A37" s="6"/>
      <c r="B37" s="6"/>
      <c r="C37" s="7"/>
      <c r="D37" s="6"/>
      <c r="E37" s="6"/>
      <c r="F37" s="7"/>
      <c r="G37" s="4" t="s">
        <v>136</v>
      </c>
      <c r="H37" s="4" t="s">
        <v>138</v>
      </c>
      <c r="I37" s="6"/>
      <c r="J37" s="6"/>
      <c r="K37" s="3"/>
      <c r="L37" s="3"/>
      <c r="M37" s="3"/>
      <c r="N37" s="3"/>
      <c r="O37" s="3"/>
      <c r="P37" s="3"/>
      <c r="Q37" s="3"/>
      <c r="R37" s="3"/>
      <c r="S37" s="3"/>
      <c r="T37" s="3"/>
      <c r="U37" s="3"/>
      <c r="V37" s="3"/>
      <c r="W37" s="3"/>
      <c r="X37" s="3"/>
      <c r="Y37" s="3"/>
      <c r="Z37" s="3"/>
    </row>
    <row r="38" ht="15.75" customHeight="1">
      <c r="A38" s="6"/>
      <c r="B38" s="6"/>
      <c r="C38" s="7"/>
      <c r="D38" s="6"/>
      <c r="E38" s="6"/>
      <c r="F38" s="7"/>
      <c r="G38" s="4" t="s">
        <v>140</v>
      </c>
      <c r="H38" s="4" t="s">
        <v>141</v>
      </c>
      <c r="I38" s="6"/>
      <c r="J38" s="6"/>
      <c r="K38" s="3"/>
      <c r="L38" s="3"/>
      <c r="M38" s="3"/>
      <c r="N38" s="3"/>
      <c r="O38" s="3"/>
      <c r="P38" s="3"/>
      <c r="Q38" s="3"/>
      <c r="R38" s="3"/>
      <c r="S38" s="3"/>
      <c r="T38" s="3"/>
      <c r="U38" s="3"/>
      <c r="V38" s="3"/>
      <c r="W38" s="3"/>
      <c r="X38" s="3"/>
      <c r="Y38" s="3"/>
      <c r="Z38" s="3"/>
    </row>
    <row r="39" ht="15.75" customHeight="1">
      <c r="A39" s="6"/>
      <c r="B39" s="6"/>
      <c r="C39" s="7"/>
      <c r="D39" s="6"/>
      <c r="E39" s="6"/>
      <c r="F39" s="7"/>
      <c r="G39" s="4" t="s">
        <v>142</v>
      </c>
      <c r="H39" s="4" t="s">
        <v>144</v>
      </c>
      <c r="I39" s="6"/>
      <c r="J39" s="6"/>
      <c r="K39" s="3"/>
      <c r="L39" s="3"/>
      <c r="M39" s="3"/>
      <c r="N39" s="3"/>
      <c r="O39" s="3"/>
      <c r="P39" s="3"/>
      <c r="Q39" s="3"/>
      <c r="R39" s="3"/>
      <c r="S39" s="3"/>
      <c r="T39" s="3"/>
      <c r="U39" s="3"/>
      <c r="V39" s="3"/>
      <c r="W39" s="3"/>
      <c r="X39" s="3"/>
      <c r="Y39" s="3"/>
      <c r="Z39" s="3"/>
    </row>
    <row r="40" ht="15.75" customHeight="1">
      <c r="A40" s="6"/>
      <c r="B40" s="6"/>
      <c r="C40" s="7"/>
      <c r="D40" s="6"/>
      <c r="E40" s="6"/>
      <c r="F40" s="7"/>
      <c r="G40" s="4" t="s">
        <v>11</v>
      </c>
      <c r="H40" s="4" t="s">
        <v>145</v>
      </c>
      <c r="I40" s="6"/>
      <c r="J40" s="6"/>
      <c r="K40" s="3"/>
      <c r="L40" s="3"/>
      <c r="M40" s="3"/>
      <c r="N40" s="3"/>
      <c r="O40" s="3"/>
      <c r="P40" s="3"/>
      <c r="Q40" s="3"/>
      <c r="R40" s="3"/>
      <c r="S40" s="3"/>
      <c r="T40" s="3"/>
      <c r="U40" s="3"/>
      <c r="V40" s="3"/>
      <c r="W40" s="3"/>
      <c r="X40" s="3"/>
      <c r="Y40" s="3"/>
      <c r="Z40" s="3"/>
    </row>
    <row r="41" ht="15.75" customHeight="1">
      <c r="A41" s="6"/>
      <c r="B41" s="6"/>
      <c r="C41" s="7"/>
      <c r="D41" s="6"/>
      <c r="E41" s="6"/>
      <c r="F41" s="7"/>
      <c r="G41" s="4" t="s">
        <v>147</v>
      </c>
      <c r="H41" s="4" t="s">
        <v>148</v>
      </c>
      <c r="I41" s="6"/>
      <c r="J41" s="6"/>
      <c r="K41" s="3"/>
      <c r="L41" s="3"/>
      <c r="M41" s="3"/>
      <c r="N41" s="3"/>
      <c r="O41" s="3"/>
      <c r="P41" s="3"/>
      <c r="Q41" s="3"/>
      <c r="R41" s="3"/>
      <c r="S41" s="3"/>
      <c r="T41" s="3"/>
      <c r="U41" s="3"/>
      <c r="V41" s="3"/>
      <c r="W41" s="3"/>
      <c r="X41" s="3"/>
      <c r="Y41" s="3"/>
      <c r="Z41" s="3"/>
    </row>
    <row r="42" ht="15.75" customHeight="1">
      <c r="A42" s="6"/>
      <c r="B42" s="6"/>
      <c r="C42" s="7"/>
      <c r="D42" s="6"/>
      <c r="E42" s="6"/>
      <c r="F42" s="7"/>
      <c r="G42" s="4" t="s">
        <v>149</v>
      </c>
      <c r="H42" s="4" t="s">
        <v>150</v>
      </c>
      <c r="I42" s="6"/>
      <c r="J42" s="6"/>
      <c r="K42" s="3"/>
      <c r="L42" s="3"/>
      <c r="M42" s="3"/>
      <c r="N42" s="3"/>
      <c r="O42" s="3"/>
      <c r="P42" s="3"/>
      <c r="Q42" s="3"/>
      <c r="R42" s="3"/>
      <c r="S42" s="3"/>
      <c r="T42" s="3"/>
      <c r="U42" s="3"/>
      <c r="V42" s="3"/>
      <c r="W42" s="3"/>
      <c r="X42" s="3"/>
      <c r="Y42" s="3"/>
      <c r="Z42" s="3"/>
    </row>
    <row r="43" ht="15.75" customHeight="1">
      <c r="A43" s="6"/>
      <c r="B43" s="6"/>
      <c r="C43" s="7"/>
      <c r="D43" s="6"/>
      <c r="E43" s="6"/>
      <c r="F43" s="7"/>
      <c r="G43" s="4" t="s">
        <v>151</v>
      </c>
      <c r="H43" s="4" t="s">
        <v>152</v>
      </c>
      <c r="I43" s="6"/>
      <c r="J43" s="6"/>
      <c r="K43" s="3"/>
      <c r="L43" s="3"/>
      <c r="M43" s="3"/>
      <c r="N43" s="3"/>
      <c r="O43" s="3"/>
      <c r="P43" s="3"/>
      <c r="Q43" s="3"/>
      <c r="R43" s="3"/>
      <c r="S43" s="3"/>
      <c r="T43" s="3"/>
      <c r="U43" s="3"/>
      <c r="V43" s="3"/>
      <c r="W43" s="3"/>
      <c r="X43" s="3"/>
      <c r="Y43" s="3"/>
      <c r="Z43" s="3"/>
    </row>
    <row r="44" ht="15.75" customHeight="1">
      <c r="A44" s="6"/>
      <c r="B44" s="6"/>
      <c r="C44" s="7"/>
      <c r="D44" s="6"/>
      <c r="E44" s="6"/>
      <c r="F44" s="7"/>
      <c r="G44" s="4" t="s">
        <v>153</v>
      </c>
      <c r="H44" s="4" t="s">
        <v>155</v>
      </c>
      <c r="I44" s="6"/>
      <c r="J44" s="6"/>
      <c r="K44" s="3"/>
      <c r="L44" s="3"/>
      <c r="M44" s="3"/>
      <c r="N44" s="3"/>
      <c r="O44" s="3"/>
      <c r="P44" s="3"/>
      <c r="Q44" s="3"/>
      <c r="R44" s="3"/>
      <c r="S44" s="3"/>
      <c r="T44" s="3"/>
      <c r="U44" s="3"/>
      <c r="V44" s="3"/>
      <c r="W44" s="3"/>
      <c r="X44" s="3"/>
      <c r="Y44" s="3"/>
      <c r="Z44" s="3"/>
    </row>
    <row r="45" ht="15.75" customHeight="1">
      <c r="A45" s="6"/>
      <c r="B45" s="6"/>
      <c r="C45" s="7"/>
      <c r="D45" s="6"/>
      <c r="E45" s="6"/>
      <c r="F45" s="7"/>
      <c r="G45" s="4" t="s">
        <v>156</v>
      </c>
      <c r="H45" s="4" t="s">
        <v>157</v>
      </c>
      <c r="I45" s="6"/>
      <c r="J45" s="6"/>
      <c r="K45" s="3"/>
      <c r="L45" s="3"/>
      <c r="M45" s="3"/>
      <c r="N45" s="3"/>
      <c r="O45" s="3"/>
      <c r="P45" s="3"/>
      <c r="Q45" s="3"/>
      <c r="R45" s="3"/>
      <c r="S45" s="3"/>
      <c r="T45" s="3"/>
      <c r="U45" s="3"/>
      <c r="V45" s="3"/>
      <c r="W45" s="3"/>
      <c r="X45" s="3"/>
      <c r="Y45" s="3"/>
      <c r="Z45" s="3"/>
    </row>
    <row r="46" ht="15.75" customHeight="1">
      <c r="A46" s="6"/>
      <c r="B46" s="6"/>
      <c r="C46" s="7"/>
      <c r="D46" s="6"/>
      <c r="E46" s="6"/>
      <c r="F46" s="7"/>
      <c r="G46" s="4" t="s">
        <v>158</v>
      </c>
      <c r="H46" s="4" t="s">
        <v>159</v>
      </c>
      <c r="I46" s="6"/>
      <c r="J46" s="6"/>
      <c r="K46" s="3"/>
      <c r="L46" s="3"/>
      <c r="M46" s="3"/>
      <c r="N46" s="3"/>
      <c r="O46" s="3"/>
      <c r="P46" s="3"/>
      <c r="Q46" s="3"/>
      <c r="R46" s="3"/>
      <c r="S46" s="3"/>
      <c r="T46" s="3"/>
      <c r="U46" s="3"/>
      <c r="V46" s="3"/>
      <c r="W46" s="3"/>
      <c r="X46" s="3"/>
      <c r="Y46" s="3"/>
      <c r="Z46" s="3"/>
    </row>
    <row r="47" ht="15.75" customHeight="1">
      <c r="A47" s="6"/>
      <c r="B47" s="6"/>
      <c r="C47" s="7"/>
      <c r="D47" s="6"/>
      <c r="E47" s="6"/>
      <c r="F47" s="7"/>
      <c r="G47" s="4" t="s">
        <v>160</v>
      </c>
      <c r="H47" s="4" t="s">
        <v>161</v>
      </c>
      <c r="I47" s="6"/>
      <c r="J47" s="6"/>
      <c r="K47" s="3"/>
      <c r="L47" s="3"/>
      <c r="M47" s="3"/>
      <c r="N47" s="3"/>
      <c r="O47" s="3"/>
      <c r="P47" s="3"/>
      <c r="Q47" s="3"/>
      <c r="R47" s="3"/>
      <c r="S47" s="3"/>
      <c r="T47" s="3"/>
      <c r="U47" s="3"/>
      <c r="V47" s="3"/>
      <c r="W47" s="3"/>
      <c r="X47" s="3"/>
      <c r="Y47" s="3"/>
      <c r="Z47" s="3"/>
    </row>
    <row r="48" ht="15.75" customHeight="1">
      <c r="A48" s="6"/>
      <c r="B48" s="6"/>
      <c r="C48" s="7"/>
      <c r="D48" s="6"/>
      <c r="E48" s="6"/>
      <c r="F48" s="7"/>
      <c r="G48" s="4" t="s">
        <v>163</v>
      </c>
      <c r="H48" s="4" t="s">
        <v>164</v>
      </c>
      <c r="I48" s="6"/>
      <c r="J48" s="6"/>
      <c r="K48" s="3"/>
      <c r="L48" s="3"/>
      <c r="M48" s="3"/>
      <c r="N48" s="3"/>
      <c r="O48" s="3"/>
      <c r="P48" s="3"/>
      <c r="Q48" s="3"/>
      <c r="R48" s="3"/>
      <c r="S48" s="3"/>
      <c r="T48" s="3"/>
      <c r="U48" s="3"/>
      <c r="V48" s="3"/>
      <c r="W48" s="3"/>
      <c r="X48" s="3"/>
      <c r="Y48" s="3"/>
      <c r="Z48" s="3"/>
    </row>
    <row r="49" ht="15.75" customHeight="1">
      <c r="A49" s="6"/>
      <c r="B49" s="6"/>
      <c r="C49" s="7"/>
      <c r="D49" s="6"/>
      <c r="E49" s="6"/>
      <c r="F49" s="7"/>
      <c r="G49" s="4" t="s">
        <v>165</v>
      </c>
      <c r="H49" s="4" t="s">
        <v>166</v>
      </c>
      <c r="I49" s="6"/>
      <c r="J49" s="6"/>
      <c r="K49" s="3"/>
      <c r="L49" s="3"/>
      <c r="M49" s="3"/>
      <c r="N49" s="3"/>
      <c r="O49" s="3"/>
      <c r="P49" s="3"/>
      <c r="Q49" s="3"/>
      <c r="R49" s="3"/>
      <c r="S49" s="3"/>
      <c r="T49" s="3"/>
      <c r="U49" s="3"/>
      <c r="V49" s="3"/>
      <c r="W49" s="3"/>
      <c r="X49" s="3"/>
      <c r="Y49" s="3"/>
      <c r="Z49" s="3"/>
    </row>
    <row r="50" ht="15.75" customHeight="1">
      <c r="A50" s="6"/>
      <c r="B50" s="6"/>
      <c r="C50" s="7"/>
      <c r="D50" s="6"/>
      <c r="E50" s="6"/>
      <c r="F50" s="7"/>
      <c r="G50" s="4" t="s">
        <v>167</v>
      </c>
      <c r="H50" s="4" t="s">
        <v>169</v>
      </c>
      <c r="I50" s="6"/>
      <c r="J50" s="6"/>
      <c r="K50" s="3"/>
      <c r="L50" s="3"/>
      <c r="M50" s="3"/>
      <c r="N50" s="3"/>
      <c r="O50" s="3"/>
      <c r="P50" s="3"/>
      <c r="Q50" s="3"/>
      <c r="R50" s="3"/>
      <c r="S50" s="3"/>
      <c r="T50" s="3"/>
      <c r="U50" s="3"/>
      <c r="V50" s="3"/>
      <c r="W50" s="3"/>
      <c r="X50" s="3"/>
      <c r="Y50" s="3"/>
      <c r="Z50" s="3"/>
    </row>
    <row r="51" ht="15.75" customHeight="1">
      <c r="A51" s="6"/>
      <c r="B51" s="6"/>
      <c r="C51" s="7"/>
      <c r="D51" s="6"/>
      <c r="E51" s="6"/>
      <c r="F51" s="7"/>
      <c r="G51" s="4" t="s">
        <v>170</v>
      </c>
      <c r="H51" s="4" t="s">
        <v>171</v>
      </c>
      <c r="I51" s="6"/>
      <c r="J51" s="6"/>
      <c r="K51" s="3"/>
      <c r="L51" s="3"/>
      <c r="M51" s="3"/>
      <c r="N51" s="3"/>
      <c r="O51" s="3"/>
      <c r="P51" s="3"/>
      <c r="Q51" s="3"/>
      <c r="R51" s="3"/>
      <c r="S51" s="3"/>
      <c r="T51" s="3"/>
      <c r="U51" s="3"/>
      <c r="V51" s="3"/>
      <c r="W51" s="3"/>
      <c r="X51" s="3"/>
      <c r="Y51" s="3"/>
      <c r="Z51" s="3"/>
    </row>
    <row r="52" ht="15.75" customHeight="1">
      <c r="A52" s="6"/>
      <c r="B52" s="6"/>
      <c r="C52" s="7"/>
      <c r="D52" s="6"/>
      <c r="E52" s="6"/>
      <c r="F52" s="7"/>
      <c r="G52" s="4" t="s">
        <v>173</v>
      </c>
      <c r="H52" s="4" t="s">
        <v>174</v>
      </c>
      <c r="I52" s="6"/>
      <c r="J52" s="6"/>
      <c r="K52" s="3"/>
      <c r="L52" s="3"/>
      <c r="M52" s="3"/>
      <c r="N52" s="3"/>
      <c r="O52" s="3"/>
      <c r="P52" s="3"/>
      <c r="Q52" s="3"/>
      <c r="R52" s="3"/>
      <c r="S52" s="3"/>
      <c r="T52" s="3"/>
      <c r="U52" s="3"/>
      <c r="V52" s="3"/>
      <c r="W52" s="3"/>
      <c r="X52" s="3"/>
      <c r="Y52" s="3"/>
      <c r="Z52" s="3"/>
    </row>
    <row r="53" ht="15.75" customHeight="1">
      <c r="A53" s="6"/>
      <c r="B53" s="6"/>
      <c r="C53" s="7"/>
      <c r="D53" s="6"/>
      <c r="E53" s="6"/>
      <c r="F53" s="7"/>
      <c r="G53" s="4" t="s">
        <v>175</v>
      </c>
      <c r="H53" s="4" t="s">
        <v>177</v>
      </c>
      <c r="I53" s="6"/>
      <c r="J53" s="6"/>
      <c r="K53" s="3"/>
      <c r="L53" s="3"/>
      <c r="M53" s="3"/>
      <c r="N53" s="3"/>
      <c r="O53" s="3"/>
      <c r="P53" s="3"/>
      <c r="Q53" s="3"/>
      <c r="R53" s="3"/>
      <c r="S53" s="3"/>
      <c r="T53" s="3"/>
      <c r="U53" s="3"/>
      <c r="V53" s="3"/>
      <c r="W53" s="3"/>
      <c r="X53" s="3"/>
      <c r="Y53" s="3"/>
      <c r="Z53" s="3"/>
    </row>
    <row r="54" ht="15.75" customHeight="1">
      <c r="A54" s="6"/>
      <c r="B54" s="6"/>
      <c r="C54" s="7"/>
      <c r="D54" s="6"/>
      <c r="E54" s="6"/>
      <c r="F54" s="7"/>
      <c r="G54" s="64"/>
      <c r="H54" s="6"/>
      <c r="I54" s="6"/>
      <c r="J54" s="6"/>
      <c r="K54" s="3"/>
      <c r="L54" s="3"/>
      <c r="M54" s="3"/>
      <c r="N54" s="3"/>
      <c r="O54" s="3"/>
      <c r="P54" s="3"/>
      <c r="Q54" s="3"/>
      <c r="R54" s="3"/>
      <c r="S54" s="3"/>
      <c r="T54" s="3"/>
      <c r="U54" s="3"/>
      <c r="V54" s="3"/>
      <c r="W54" s="3"/>
      <c r="X54" s="3"/>
      <c r="Y54" s="3"/>
      <c r="Z54" s="3"/>
    </row>
    <row r="55" ht="15.75" customHeight="1">
      <c r="A55" s="6"/>
      <c r="B55" s="6"/>
      <c r="C55" s="7"/>
      <c r="D55" s="6"/>
      <c r="E55" s="6"/>
      <c r="F55" s="7"/>
      <c r="G55" s="64"/>
      <c r="H55" s="6"/>
      <c r="I55" s="6"/>
      <c r="J55" s="6"/>
      <c r="K55" s="3"/>
      <c r="L55" s="3"/>
      <c r="M55" s="3"/>
      <c r="N55" s="3"/>
      <c r="O55" s="3"/>
      <c r="P55" s="3"/>
      <c r="Q55" s="3"/>
      <c r="R55" s="3"/>
      <c r="S55" s="3"/>
      <c r="T55" s="3"/>
      <c r="U55" s="3"/>
      <c r="V55" s="3"/>
      <c r="W55" s="3"/>
      <c r="X55" s="3"/>
      <c r="Y55" s="3"/>
      <c r="Z55" s="3"/>
    </row>
    <row r="56" ht="15.75" customHeight="1">
      <c r="A56" s="6"/>
      <c r="B56" s="6"/>
      <c r="C56" s="7"/>
      <c r="D56" s="6"/>
      <c r="E56" s="6"/>
      <c r="F56" s="7"/>
      <c r="G56" s="64"/>
      <c r="H56" s="6"/>
      <c r="I56" s="6"/>
      <c r="J56" s="6"/>
      <c r="K56" s="3"/>
      <c r="L56" s="3"/>
      <c r="M56" s="3"/>
      <c r="N56" s="3"/>
      <c r="O56" s="3"/>
      <c r="P56" s="3"/>
      <c r="Q56" s="3"/>
      <c r="R56" s="3"/>
      <c r="S56" s="3"/>
      <c r="T56" s="3"/>
      <c r="U56" s="3"/>
      <c r="V56" s="3"/>
      <c r="W56" s="3"/>
      <c r="X56" s="3"/>
      <c r="Y56" s="3"/>
      <c r="Z56" s="3"/>
    </row>
    <row r="57" ht="15.75" customHeight="1">
      <c r="A57" s="6"/>
      <c r="B57" s="6"/>
      <c r="C57" s="7"/>
      <c r="D57" s="6"/>
      <c r="E57" s="6"/>
      <c r="F57" s="7"/>
      <c r="G57" s="64"/>
      <c r="H57" s="6"/>
      <c r="I57" s="6"/>
      <c r="J57" s="6"/>
      <c r="K57" s="3"/>
      <c r="L57" s="3"/>
      <c r="M57" s="3"/>
      <c r="N57" s="3"/>
      <c r="O57" s="3"/>
      <c r="P57" s="3"/>
      <c r="Q57" s="3"/>
      <c r="R57" s="3"/>
      <c r="S57" s="3"/>
      <c r="T57" s="3"/>
      <c r="U57" s="3"/>
      <c r="V57" s="3"/>
      <c r="W57" s="3"/>
      <c r="X57" s="3"/>
      <c r="Y57" s="3"/>
      <c r="Z57" s="3"/>
    </row>
    <row r="58" ht="15.75" customHeight="1">
      <c r="A58" s="6"/>
      <c r="B58" s="6"/>
      <c r="C58" s="7"/>
      <c r="D58" s="6"/>
      <c r="E58" s="6"/>
      <c r="F58" s="7"/>
      <c r="G58" s="64"/>
      <c r="H58" s="6"/>
      <c r="I58" s="6"/>
      <c r="J58" s="6"/>
      <c r="K58" s="3"/>
      <c r="L58" s="3"/>
      <c r="M58" s="3"/>
      <c r="N58" s="3"/>
      <c r="O58" s="3"/>
      <c r="P58" s="3"/>
      <c r="Q58" s="3"/>
      <c r="R58" s="3"/>
      <c r="S58" s="3"/>
      <c r="T58" s="3"/>
      <c r="U58" s="3"/>
      <c r="V58" s="3"/>
      <c r="W58" s="3"/>
      <c r="X58" s="3"/>
      <c r="Y58" s="3"/>
      <c r="Z58" s="3"/>
    </row>
    <row r="59" ht="15.75" customHeight="1">
      <c r="A59" s="6"/>
      <c r="B59" s="6"/>
      <c r="C59" s="7"/>
      <c r="D59" s="6"/>
      <c r="E59" s="6"/>
      <c r="F59" s="7"/>
      <c r="G59" s="64"/>
      <c r="H59" s="6"/>
      <c r="I59" s="6"/>
      <c r="J59" s="6"/>
      <c r="K59" s="3"/>
      <c r="L59" s="3"/>
      <c r="M59" s="3"/>
      <c r="N59" s="3"/>
      <c r="O59" s="3"/>
      <c r="P59" s="3"/>
      <c r="Q59" s="3"/>
      <c r="R59" s="3"/>
      <c r="S59" s="3"/>
      <c r="T59" s="3"/>
      <c r="U59" s="3"/>
      <c r="V59" s="3"/>
      <c r="W59" s="3"/>
      <c r="X59" s="3"/>
      <c r="Y59" s="3"/>
      <c r="Z59" s="3"/>
    </row>
    <row r="60" ht="15.75" customHeight="1">
      <c r="A60" s="6"/>
      <c r="B60" s="6"/>
      <c r="C60" s="7"/>
      <c r="D60" s="6"/>
      <c r="E60" s="6"/>
      <c r="F60" s="7"/>
      <c r="G60" s="64"/>
      <c r="H60" s="6"/>
      <c r="I60" s="6"/>
      <c r="J60" s="6"/>
      <c r="K60" s="3"/>
      <c r="L60" s="3"/>
      <c r="M60" s="3"/>
      <c r="N60" s="3"/>
      <c r="O60" s="3"/>
      <c r="P60" s="3"/>
      <c r="Q60" s="3"/>
      <c r="R60" s="3"/>
      <c r="S60" s="3"/>
      <c r="T60" s="3"/>
      <c r="U60" s="3"/>
      <c r="V60" s="3"/>
      <c r="W60" s="3"/>
      <c r="X60" s="3"/>
      <c r="Y60" s="3"/>
      <c r="Z60" s="3"/>
    </row>
    <row r="61" ht="15.75" customHeight="1">
      <c r="A61" s="6"/>
      <c r="B61" s="6"/>
      <c r="C61" s="7"/>
      <c r="D61" s="6"/>
      <c r="E61" s="6"/>
      <c r="F61" s="7"/>
      <c r="G61" s="64"/>
      <c r="H61" s="6"/>
      <c r="I61" s="6"/>
      <c r="J61" s="6"/>
      <c r="K61" s="3"/>
      <c r="L61" s="3"/>
      <c r="M61" s="3"/>
      <c r="N61" s="3"/>
      <c r="O61" s="3"/>
      <c r="P61" s="3"/>
      <c r="Q61" s="3"/>
      <c r="R61" s="3"/>
      <c r="S61" s="3"/>
      <c r="T61" s="3"/>
      <c r="U61" s="3"/>
      <c r="V61" s="3"/>
      <c r="W61" s="3"/>
      <c r="X61" s="3"/>
      <c r="Y61" s="3"/>
      <c r="Z61" s="3"/>
    </row>
    <row r="62" ht="15.75" customHeight="1">
      <c r="A62" s="6"/>
      <c r="B62" s="6"/>
      <c r="C62" s="7"/>
      <c r="D62" s="6"/>
      <c r="E62" s="6"/>
      <c r="F62" s="7"/>
      <c r="G62" s="64"/>
      <c r="H62" s="6"/>
      <c r="I62" s="6"/>
      <c r="J62" s="6"/>
      <c r="K62" s="3"/>
      <c r="L62" s="3"/>
      <c r="M62" s="3"/>
      <c r="N62" s="3"/>
      <c r="O62" s="3"/>
      <c r="P62" s="3"/>
      <c r="Q62" s="3"/>
      <c r="R62" s="3"/>
      <c r="S62" s="3"/>
      <c r="T62" s="3"/>
      <c r="U62" s="3"/>
      <c r="V62" s="3"/>
      <c r="W62" s="3"/>
      <c r="X62" s="3"/>
      <c r="Y62" s="3"/>
      <c r="Z62" s="3"/>
    </row>
    <row r="63" ht="15.75" customHeight="1">
      <c r="A63" s="6"/>
      <c r="B63" s="6"/>
      <c r="C63" s="7"/>
      <c r="D63" s="6"/>
      <c r="E63" s="6"/>
      <c r="F63" s="7"/>
      <c r="G63" s="64"/>
      <c r="H63" s="6"/>
      <c r="I63" s="6"/>
      <c r="J63" s="6"/>
      <c r="K63" s="3"/>
      <c r="L63" s="3"/>
      <c r="M63" s="3"/>
      <c r="N63" s="3"/>
      <c r="O63" s="3"/>
      <c r="P63" s="3"/>
      <c r="Q63" s="3"/>
      <c r="R63" s="3"/>
      <c r="S63" s="3"/>
      <c r="T63" s="3"/>
      <c r="U63" s="3"/>
      <c r="V63" s="3"/>
      <c r="W63" s="3"/>
      <c r="X63" s="3"/>
      <c r="Y63" s="3"/>
      <c r="Z63" s="3"/>
    </row>
    <row r="64" ht="15.75" customHeight="1">
      <c r="A64" s="6"/>
      <c r="B64" s="6"/>
      <c r="C64" s="7"/>
      <c r="D64" s="6"/>
      <c r="E64" s="6"/>
      <c r="F64" s="7"/>
      <c r="G64" s="64"/>
      <c r="H64" s="6"/>
      <c r="I64" s="6"/>
      <c r="J64" s="6"/>
      <c r="K64" s="3"/>
      <c r="L64" s="3"/>
      <c r="M64" s="3"/>
      <c r="N64" s="3"/>
      <c r="O64" s="3"/>
      <c r="P64" s="3"/>
      <c r="Q64" s="3"/>
      <c r="R64" s="3"/>
      <c r="S64" s="3"/>
      <c r="T64" s="3"/>
      <c r="U64" s="3"/>
      <c r="V64" s="3"/>
      <c r="W64" s="3"/>
      <c r="X64" s="3"/>
      <c r="Y64" s="3"/>
      <c r="Z64" s="3"/>
    </row>
    <row r="65" ht="15.75" customHeight="1">
      <c r="A65" s="6"/>
      <c r="B65" s="6"/>
      <c r="C65" s="7"/>
      <c r="D65" s="6"/>
      <c r="E65" s="6"/>
      <c r="F65" s="7"/>
      <c r="G65" s="64"/>
      <c r="H65" s="6"/>
      <c r="I65" s="6"/>
      <c r="J65" s="6"/>
      <c r="K65" s="3"/>
      <c r="L65" s="3"/>
      <c r="M65" s="3"/>
      <c r="N65" s="3"/>
      <c r="O65" s="3"/>
      <c r="P65" s="3"/>
      <c r="Q65" s="3"/>
      <c r="R65" s="3"/>
      <c r="S65" s="3"/>
      <c r="T65" s="3"/>
      <c r="U65" s="3"/>
      <c r="V65" s="3"/>
      <c r="W65" s="3"/>
      <c r="X65" s="3"/>
      <c r="Y65" s="3"/>
      <c r="Z65" s="3"/>
    </row>
    <row r="66" ht="15.75" customHeight="1">
      <c r="A66" s="6"/>
      <c r="B66" s="6"/>
      <c r="C66" s="7"/>
      <c r="D66" s="6"/>
      <c r="E66" s="6"/>
      <c r="F66" s="7"/>
      <c r="G66" s="64"/>
      <c r="H66" s="6"/>
      <c r="I66" s="6"/>
      <c r="J66" s="6"/>
      <c r="K66" s="3"/>
      <c r="L66" s="3"/>
      <c r="M66" s="3"/>
      <c r="N66" s="3"/>
      <c r="O66" s="3"/>
      <c r="P66" s="3"/>
      <c r="Q66" s="3"/>
      <c r="R66" s="3"/>
      <c r="S66" s="3"/>
      <c r="T66" s="3"/>
      <c r="U66" s="3"/>
      <c r="V66" s="3"/>
      <c r="W66" s="3"/>
      <c r="X66" s="3"/>
      <c r="Y66" s="3"/>
      <c r="Z66" s="3"/>
    </row>
    <row r="67" ht="15.75" customHeight="1">
      <c r="A67" s="6"/>
      <c r="B67" s="6"/>
      <c r="C67" s="7"/>
      <c r="D67" s="6"/>
      <c r="E67" s="6"/>
      <c r="F67" s="7"/>
      <c r="G67" s="64"/>
      <c r="H67" s="6"/>
      <c r="I67" s="6"/>
      <c r="J67" s="6"/>
      <c r="K67" s="3"/>
      <c r="L67" s="3"/>
      <c r="M67" s="3"/>
      <c r="N67" s="3"/>
      <c r="O67" s="3"/>
      <c r="P67" s="3"/>
      <c r="Q67" s="3"/>
      <c r="R67" s="3"/>
      <c r="S67" s="3"/>
      <c r="T67" s="3"/>
      <c r="U67" s="3"/>
      <c r="V67" s="3"/>
      <c r="W67" s="3"/>
      <c r="X67" s="3"/>
      <c r="Y67" s="3"/>
      <c r="Z67" s="3"/>
    </row>
    <row r="68" ht="15.75" customHeight="1">
      <c r="A68" s="6"/>
      <c r="B68" s="6"/>
      <c r="C68" s="7"/>
      <c r="D68" s="6"/>
      <c r="E68" s="6"/>
      <c r="F68" s="7"/>
      <c r="G68" s="64"/>
      <c r="H68" s="6"/>
      <c r="I68" s="6"/>
      <c r="J68" s="6"/>
      <c r="K68" s="3"/>
      <c r="L68" s="3"/>
      <c r="M68" s="3"/>
      <c r="N68" s="3"/>
      <c r="O68" s="3"/>
      <c r="P68" s="3"/>
      <c r="Q68" s="3"/>
      <c r="R68" s="3"/>
      <c r="S68" s="3"/>
      <c r="T68" s="3"/>
      <c r="U68" s="3"/>
      <c r="V68" s="3"/>
      <c r="W68" s="3"/>
      <c r="X68" s="3"/>
      <c r="Y68" s="3"/>
      <c r="Z68" s="3"/>
    </row>
    <row r="69" ht="15.75" customHeight="1">
      <c r="A69" s="6"/>
      <c r="B69" s="6"/>
      <c r="C69" s="7"/>
      <c r="D69" s="6"/>
      <c r="E69" s="6"/>
      <c r="F69" s="7"/>
      <c r="G69" s="64"/>
      <c r="H69" s="6"/>
      <c r="I69" s="6"/>
      <c r="J69" s="6"/>
      <c r="K69" s="3"/>
      <c r="L69" s="3"/>
      <c r="M69" s="3"/>
      <c r="N69" s="3"/>
      <c r="O69" s="3"/>
      <c r="P69" s="3"/>
      <c r="Q69" s="3"/>
      <c r="R69" s="3"/>
      <c r="S69" s="3"/>
      <c r="T69" s="3"/>
      <c r="U69" s="3"/>
      <c r="V69" s="3"/>
      <c r="W69" s="3"/>
      <c r="X69" s="3"/>
      <c r="Y69" s="3"/>
      <c r="Z69" s="3"/>
    </row>
    <row r="70" ht="15.75" customHeight="1">
      <c r="A70" s="6"/>
      <c r="B70" s="6"/>
      <c r="C70" s="7"/>
      <c r="D70" s="6"/>
      <c r="E70" s="6"/>
      <c r="F70" s="7"/>
      <c r="G70" s="64"/>
      <c r="H70" s="6"/>
      <c r="I70" s="6"/>
      <c r="J70" s="6"/>
      <c r="K70" s="3"/>
      <c r="L70" s="3"/>
      <c r="M70" s="3"/>
      <c r="N70" s="3"/>
      <c r="O70" s="3"/>
      <c r="P70" s="3"/>
      <c r="Q70" s="3"/>
      <c r="R70" s="3"/>
      <c r="S70" s="3"/>
      <c r="T70" s="3"/>
      <c r="U70" s="3"/>
      <c r="V70" s="3"/>
      <c r="W70" s="3"/>
      <c r="X70" s="3"/>
      <c r="Y70" s="3"/>
      <c r="Z70" s="3"/>
    </row>
    <row r="71" ht="15.75" customHeight="1">
      <c r="A71" s="6"/>
      <c r="B71" s="6"/>
      <c r="C71" s="7"/>
      <c r="D71" s="6"/>
      <c r="E71" s="6"/>
      <c r="F71" s="7"/>
      <c r="G71" s="64"/>
      <c r="H71" s="6"/>
      <c r="I71" s="6"/>
      <c r="J71" s="6"/>
      <c r="K71" s="3"/>
      <c r="L71" s="3"/>
      <c r="M71" s="3"/>
      <c r="N71" s="3"/>
      <c r="O71" s="3"/>
      <c r="P71" s="3"/>
      <c r="Q71" s="3"/>
      <c r="R71" s="3"/>
      <c r="S71" s="3"/>
      <c r="T71" s="3"/>
      <c r="U71" s="3"/>
      <c r="V71" s="3"/>
      <c r="W71" s="3"/>
      <c r="X71" s="3"/>
      <c r="Y71" s="3"/>
      <c r="Z71" s="3"/>
    </row>
    <row r="72" ht="15.75" customHeight="1">
      <c r="A72" s="6"/>
      <c r="B72" s="6"/>
      <c r="C72" s="7"/>
      <c r="D72" s="6"/>
      <c r="E72" s="6"/>
      <c r="F72" s="7"/>
      <c r="G72" s="64"/>
      <c r="H72" s="6"/>
      <c r="I72" s="6"/>
      <c r="J72" s="6"/>
      <c r="K72" s="3"/>
      <c r="L72" s="3"/>
      <c r="M72" s="3"/>
      <c r="N72" s="3"/>
      <c r="O72" s="3"/>
      <c r="P72" s="3"/>
      <c r="Q72" s="3"/>
      <c r="R72" s="3"/>
      <c r="S72" s="3"/>
      <c r="T72" s="3"/>
      <c r="U72" s="3"/>
      <c r="V72" s="3"/>
      <c r="W72" s="3"/>
      <c r="X72" s="3"/>
      <c r="Y72" s="3"/>
      <c r="Z72" s="3"/>
    </row>
    <row r="73" ht="15.75" customHeight="1">
      <c r="A73" s="6"/>
      <c r="B73" s="6"/>
      <c r="C73" s="7"/>
      <c r="D73" s="6"/>
      <c r="E73" s="6"/>
      <c r="F73" s="7"/>
      <c r="G73" s="64"/>
      <c r="H73" s="6"/>
      <c r="I73" s="6"/>
      <c r="J73" s="6"/>
      <c r="K73" s="3"/>
      <c r="L73" s="3"/>
      <c r="M73" s="3"/>
      <c r="N73" s="3"/>
      <c r="O73" s="3"/>
      <c r="P73" s="3"/>
      <c r="Q73" s="3"/>
      <c r="R73" s="3"/>
      <c r="S73" s="3"/>
      <c r="T73" s="3"/>
      <c r="U73" s="3"/>
      <c r="V73" s="3"/>
      <c r="W73" s="3"/>
      <c r="X73" s="3"/>
      <c r="Y73" s="3"/>
      <c r="Z73" s="3"/>
    </row>
    <row r="74" ht="15.75" customHeight="1">
      <c r="A74" s="6"/>
      <c r="B74" s="6"/>
      <c r="C74" s="7"/>
      <c r="D74" s="6"/>
      <c r="E74" s="6"/>
      <c r="F74" s="7"/>
      <c r="G74" s="64"/>
      <c r="H74" s="6"/>
      <c r="I74" s="6"/>
      <c r="J74" s="6"/>
      <c r="K74" s="3"/>
      <c r="L74" s="3"/>
      <c r="M74" s="3"/>
      <c r="N74" s="3"/>
      <c r="O74" s="3"/>
      <c r="P74" s="3"/>
      <c r="Q74" s="3"/>
      <c r="R74" s="3"/>
      <c r="S74" s="3"/>
      <c r="T74" s="3"/>
      <c r="U74" s="3"/>
      <c r="V74" s="3"/>
      <c r="W74" s="3"/>
      <c r="X74" s="3"/>
      <c r="Y74" s="3"/>
      <c r="Z74" s="3"/>
    </row>
    <row r="75" ht="15.75" customHeight="1">
      <c r="A75" s="6"/>
      <c r="B75" s="6"/>
      <c r="C75" s="7"/>
      <c r="D75" s="6"/>
      <c r="E75" s="6"/>
      <c r="F75" s="7"/>
      <c r="G75" s="64"/>
      <c r="H75" s="6"/>
      <c r="I75" s="6"/>
      <c r="J75" s="6"/>
      <c r="K75" s="3"/>
      <c r="L75" s="3"/>
      <c r="M75" s="3"/>
      <c r="N75" s="3"/>
      <c r="O75" s="3"/>
      <c r="P75" s="3"/>
      <c r="Q75" s="3"/>
      <c r="R75" s="3"/>
      <c r="S75" s="3"/>
      <c r="T75" s="3"/>
      <c r="U75" s="3"/>
      <c r="V75" s="3"/>
      <c r="W75" s="3"/>
      <c r="X75" s="3"/>
      <c r="Y75" s="3"/>
      <c r="Z75" s="3"/>
    </row>
    <row r="76" ht="15.75" customHeight="1">
      <c r="A76" s="6"/>
      <c r="B76" s="6"/>
      <c r="C76" s="7"/>
      <c r="D76" s="6"/>
      <c r="E76" s="6"/>
      <c r="F76" s="7"/>
      <c r="G76" s="64"/>
      <c r="H76" s="6"/>
      <c r="I76" s="6"/>
      <c r="J76" s="6"/>
      <c r="K76" s="3"/>
      <c r="L76" s="3"/>
      <c r="M76" s="3"/>
      <c r="N76" s="3"/>
      <c r="O76" s="3"/>
      <c r="P76" s="3"/>
      <c r="Q76" s="3"/>
      <c r="R76" s="3"/>
      <c r="S76" s="3"/>
      <c r="T76" s="3"/>
      <c r="U76" s="3"/>
      <c r="V76" s="3"/>
      <c r="W76" s="3"/>
      <c r="X76" s="3"/>
      <c r="Y76" s="3"/>
      <c r="Z76" s="3"/>
    </row>
    <row r="77" ht="15.75" customHeight="1">
      <c r="A77" s="6"/>
      <c r="B77" s="6"/>
      <c r="C77" s="7"/>
      <c r="D77" s="6"/>
      <c r="E77" s="6"/>
      <c r="F77" s="7"/>
      <c r="G77" s="64"/>
      <c r="H77" s="6"/>
      <c r="I77" s="6"/>
      <c r="J77" s="6"/>
      <c r="K77" s="3"/>
      <c r="L77" s="3"/>
      <c r="M77" s="3"/>
      <c r="N77" s="3"/>
      <c r="O77" s="3"/>
      <c r="P77" s="3"/>
      <c r="Q77" s="3"/>
      <c r="R77" s="3"/>
      <c r="S77" s="3"/>
      <c r="T77" s="3"/>
      <c r="U77" s="3"/>
      <c r="V77" s="3"/>
      <c r="W77" s="3"/>
      <c r="X77" s="3"/>
      <c r="Y77" s="3"/>
      <c r="Z77" s="3"/>
    </row>
    <row r="78" ht="15.75" customHeight="1">
      <c r="A78" s="6"/>
      <c r="B78" s="6"/>
      <c r="C78" s="7"/>
      <c r="D78" s="6"/>
      <c r="E78" s="6"/>
      <c r="F78" s="7"/>
      <c r="G78" s="64"/>
      <c r="H78" s="6"/>
      <c r="I78" s="6"/>
      <c r="J78" s="6"/>
      <c r="K78" s="3"/>
      <c r="L78" s="3"/>
      <c r="M78" s="3"/>
      <c r="N78" s="3"/>
      <c r="O78" s="3"/>
      <c r="P78" s="3"/>
      <c r="Q78" s="3"/>
      <c r="R78" s="3"/>
      <c r="S78" s="3"/>
      <c r="T78" s="3"/>
      <c r="U78" s="3"/>
      <c r="V78" s="3"/>
      <c r="W78" s="3"/>
      <c r="X78" s="3"/>
      <c r="Y78" s="3"/>
      <c r="Z78" s="3"/>
    </row>
    <row r="79" ht="15.75" customHeight="1">
      <c r="A79" s="6"/>
      <c r="B79" s="6"/>
      <c r="C79" s="7"/>
      <c r="D79" s="6"/>
      <c r="E79" s="6"/>
      <c r="F79" s="7"/>
      <c r="G79" s="64"/>
      <c r="H79" s="6"/>
      <c r="I79" s="6"/>
      <c r="J79" s="6"/>
      <c r="K79" s="3"/>
      <c r="L79" s="3"/>
      <c r="M79" s="3"/>
      <c r="N79" s="3"/>
      <c r="O79" s="3"/>
      <c r="P79" s="3"/>
      <c r="Q79" s="3"/>
      <c r="R79" s="3"/>
      <c r="S79" s="3"/>
      <c r="T79" s="3"/>
      <c r="U79" s="3"/>
      <c r="V79" s="3"/>
      <c r="W79" s="3"/>
      <c r="X79" s="3"/>
      <c r="Y79" s="3"/>
      <c r="Z79" s="3"/>
    </row>
    <row r="80" ht="15.75" customHeight="1">
      <c r="A80" s="6"/>
      <c r="B80" s="6"/>
      <c r="C80" s="7"/>
      <c r="D80" s="6"/>
      <c r="E80" s="6"/>
      <c r="F80" s="7"/>
      <c r="G80" s="64"/>
      <c r="H80" s="6"/>
      <c r="I80" s="6"/>
      <c r="J80" s="6"/>
      <c r="K80" s="3"/>
      <c r="L80" s="3"/>
      <c r="M80" s="3"/>
      <c r="N80" s="3"/>
      <c r="O80" s="3"/>
      <c r="P80" s="3"/>
      <c r="Q80" s="3"/>
      <c r="R80" s="3"/>
      <c r="S80" s="3"/>
      <c r="T80" s="3"/>
      <c r="U80" s="3"/>
      <c r="V80" s="3"/>
      <c r="W80" s="3"/>
      <c r="X80" s="3"/>
      <c r="Y80" s="3"/>
      <c r="Z80" s="3"/>
    </row>
    <row r="81" ht="15.75" customHeight="1">
      <c r="A81" s="6"/>
      <c r="B81" s="6"/>
      <c r="C81" s="7"/>
      <c r="D81" s="6"/>
      <c r="E81" s="6"/>
      <c r="F81" s="7"/>
      <c r="G81" s="64"/>
      <c r="H81" s="6"/>
      <c r="I81" s="6"/>
      <c r="J81" s="6"/>
      <c r="K81" s="3"/>
      <c r="L81" s="3"/>
      <c r="M81" s="3"/>
      <c r="N81" s="3"/>
      <c r="O81" s="3"/>
      <c r="P81" s="3"/>
      <c r="Q81" s="3"/>
      <c r="R81" s="3"/>
      <c r="S81" s="3"/>
      <c r="T81" s="3"/>
      <c r="U81" s="3"/>
      <c r="V81" s="3"/>
      <c r="W81" s="3"/>
      <c r="X81" s="3"/>
      <c r="Y81" s="3"/>
      <c r="Z81" s="3"/>
    </row>
    <row r="82" ht="15.75" customHeight="1">
      <c r="A82" s="6"/>
      <c r="B82" s="6"/>
      <c r="C82" s="7"/>
      <c r="D82" s="6"/>
      <c r="E82" s="6"/>
      <c r="F82" s="7"/>
      <c r="G82" s="64"/>
      <c r="H82" s="6"/>
      <c r="I82" s="6"/>
      <c r="J82" s="6"/>
      <c r="K82" s="3"/>
      <c r="L82" s="3"/>
      <c r="M82" s="3"/>
      <c r="N82" s="3"/>
      <c r="O82" s="3"/>
      <c r="P82" s="3"/>
      <c r="Q82" s="3"/>
      <c r="R82" s="3"/>
      <c r="S82" s="3"/>
      <c r="T82" s="3"/>
      <c r="U82" s="3"/>
      <c r="V82" s="3"/>
      <c r="W82" s="3"/>
      <c r="X82" s="3"/>
      <c r="Y82" s="3"/>
      <c r="Z82" s="3"/>
    </row>
    <row r="83" ht="15.75" customHeight="1">
      <c r="A83" s="6"/>
      <c r="B83" s="6"/>
      <c r="C83" s="7"/>
      <c r="D83" s="6"/>
      <c r="E83" s="6"/>
      <c r="F83" s="7"/>
      <c r="G83" s="64"/>
      <c r="H83" s="6"/>
      <c r="I83" s="6"/>
      <c r="J83" s="6"/>
      <c r="K83" s="3"/>
      <c r="L83" s="3"/>
      <c r="M83" s="3"/>
      <c r="N83" s="3"/>
      <c r="O83" s="3"/>
      <c r="P83" s="3"/>
      <c r="Q83" s="3"/>
      <c r="R83" s="3"/>
      <c r="S83" s="3"/>
      <c r="T83" s="3"/>
      <c r="U83" s="3"/>
      <c r="V83" s="3"/>
      <c r="W83" s="3"/>
      <c r="X83" s="3"/>
      <c r="Y83" s="3"/>
      <c r="Z83" s="3"/>
    </row>
    <row r="84" ht="15.75" customHeight="1">
      <c r="A84" s="6"/>
      <c r="B84" s="6"/>
      <c r="C84" s="7"/>
      <c r="D84" s="6"/>
      <c r="E84" s="6"/>
      <c r="F84" s="7"/>
      <c r="G84" s="64"/>
      <c r="H84" s="6"/>
      <c r="I84" s="6"/>
      <c r="J84" s="6"/>
      <c r="K84" s="3"/>
      <c r="L84" s="3"/>
      <c r="M84" s="3"/>
      <c r="N84" s="3"/>
      <c r="O84" s="3"/>
      <c r="P84" s="3"/>
      <c r="Q84" s="3"/>
      <c r="R84" s="3"/>
      <c r="S84" s="3"/>
      <c r="T84" s="3"/>
      <c r="U84" s="3"/>
      <c r="V84" s="3"/>
      <c r="W84" s="3"/>
      <c r="X84" s="3"/>
      <c r="Y84" s="3"/>
      <c r="Z84" s="3"/>
    </row>
    <row r="85" ht="15.75" customHeight="1">
      <c r="A85" s="6"/>
      <c r="B85" s="6"/>
      <c r="C85" s="7"/>
      <c r="D85" s="6"/>
      <c r="E85" s="6"/>
      <c r="F85" s="7"/>
      <c r="G85" s="64"/>
      <c r="H85" s="6"/>
      <c r="I85" s="6"/>
      <c r="J85" s="6"/>
      <c r="K85" s="3"/>
      <c r="L85" s="3"/>
      <c r="M85" s="3"/>
      <c r="N85" s="3"/>
      <c r="O85" s="3"/>
      <c r="P85" s="3"/>
      <c r="Q85" s="3"/>
      <c r="R85" s="3"/>
      <c r="S85" s="3"/>
      <c r="T85" s="3"/>
      <c r="U85" s="3"/>
      <c r="V85" s="3"/>
      <c r="W85" s="3"/>
      <c r="X85" s="3"/>
      <c r="Y85" s="3"/>
      <c r="Z85" s="3"/>
    </row>
    <row r="86" ht="15.75" customHeight="1">
      <c r="A86" s="6"/>
      <c r="B86" s="6"/>
      <c r="C86" s="7"/>
      <c r="D86" s="6"/>
      <c r="E86" s="6"/>
      <c r="F86" s="7"/>
      <c r="G86" s="64"/>
      <c r="H86" s="6"/>
      <c r="I86" s="6"/>
      <c r="J86" s="6"/>
      <c r="K86" s="3"/>
      <c r="L86" s="3"/>
      <c r="M86" s="3"/>
      <c r="N86" s="3"/>
      <c r="O86" s="3"/>
      <c r="P86" s="3"/>
      <c r="Q86" s="3"/>
      <c r="R86" s="3"/>
      <c r="S86" s="3"/>
      <c r="T86" s="3"/>
      <c r="U86" s="3"/>
      <c r="V86" s="3"/>
      <c r="W86" s="3"/>
      <c r="X86" s="3"/>
      <c r="Y86" s="3"/>
      <c r="Z86" s="3"/>
    </row>
    <row r="87" ht="15.75" customHeight="1">
      <c r="A87" s="6"/>
      <c r="B87" s="6"/>
      <c r="C87" s="7"/>
      <c r="D87" s="6"/>
      <c r="E87" s="6"/>
      <c r="F87" s="7"/>
      <c r="G87" s="64"/>
      <c r="H87" s="6"/>
      <c r="I87" s="6"/>
      <c r="J87" s="6"/>
      <c r="K87" s="3"/>
      <c r="L87" s="3"/>
      <c r="M87" s="3"/>
      <c r="N87" s="3"/>
      <c r="O87" s="3"/>
      <c r="P87" s="3"/>
      <c r="Q87" s="3"/>
      <c r="R87" s="3"/>
      <c r="S87" s="3"/>
      <c r="T87" s="3"/>
      <c r="U87" s="3"/>
      <c r="V87" s="3"/>
      <c r="W87" s="3"/>
      <c r="X87" s="3"/>
      <c r="Y87" s="3"/>
      <c r="Z87" s="3"/>
    </row>
    <row r="88" ht="15.75" customHeight="1">
      <c r="A88" s="6"/>
      <c r="B88" s="6"/>
      <c r="C88" s="7"/>
      <c r="D88" s="6"/>
      <c r="E88" s="6"/>
      <c r="F88" s="7"/>
      <c r="G88" s="64"/>
      <c r="H88" s="6"/>
      <c r="I88" s="6"/>
      <c r="J88" s="6"/>
      <c r="K88" s="3"/>
      <c r="L88" s="3"/>
      <c r="M88" s="3"/>
      <c r="N88" s="3"/>
      <c r="O88" s="3"/>
      <c r="P88" s="3"/>
      <c r="Q88" s="3"/>
      <c r="R88" s="3"/>
      <c r="S88" s="3"/>
      <c r="T88" s="3"/>
      <c r="U88" s="3"/>
      <c r="V88" s="3"/>
      <c r="W88" s="3"/>
      <c r="X88" s="3"/>
      <c r="Y88" s="3"/>
      <c r="Z88" s="3"/>
    </row>
    <row r="89" ht="15.75" customHeight="1">
      <c r="A89" s="6"/>
      <c r="B89" s="6"/>
      <c r="C89" s="7"/>
      <c r="D89" s="6"/>
      <c r="E89" s="6"/>
      <c r="F89" s="7"/>
      <c r="G89" s="64"/>
      <c r="H89" s="6"/>
      <c r="I89" s="6"/>
      <c r="J89" s="6"/>
      <c r="K89" s="3"/>
      <c r="L89" s="3"/>
      <c r="M89" s="3"/>
      <c r="N89" s="3"/>
      <c r="O89" s="3"/>
      <c r="P89" s="3"/>
      <c r="Q89" s="3"/>
      <c r="R89" s="3"/>
      <c r="S89" s="3"/>
      <c r="T89" s="3"/>
      <c r="U89" s="3"/>
      <c r="V89" s="3"/>
      <c r="W89" s="3"/>
      <c r="X89" s="3"/>
      <c r="Y89" s="3"/>
      <c r="Z89" s="3"/>
    </row>
    <row r="90" ht="15.75" customHeight="1">
      <c r="A90" s="6"/>
      <c r="B90" s="6"/>
      <c r="C90" s="7"/>
      <c r="D90" s="6"/>
      <c r="E90" s="6"/>
      <c r="F90" s="7"/>
      <c r="G90" s="64"/>
      <c r="H90" s="6"/>
      <c r="I90" s="6"/>
      <c r="J90" s="6"/>
      <c r="K90" s="3"/>
      <c r="L90" s="3"/>
      <c r="M90" s="3"/>
      <c r="N90" s="3"/>
      <c r="O90" s="3"/>
      <c r="P90" s="3"/>
      <c r="Q90" s="3"/>
      <c r="R90" s="3"/>
      <c r="S90" s="3"/>
      <c r="T90" s="3"/>
      <c r="U90" s="3"/>
      <c r="V90" s="3"/>
      <c r="W90" s="3"/>
      <c r="X90" s="3"/>
      <c r="Y90" s="3"/>
      <c r="Z90" s="3"/>
    </row>
    <row r="91" ht="15.75" customHeight="1">
      <c r="A91" s="6"/>
      <c r="B91" s="6"/>
      <c r="C91" s="7"/>
      <c r="D91" s="6"/>
      <c r="E91" s="6"/>
      <c r="F91" s="7"/>
      <c r="G91" s="64"/>
      <c r="H91" s="6"/>
      <c r="I91" s="6"/>
      <c r="J91" s="6"/>
      <c r="K91" s="3"/>
      <c r="L91" s="3"/>
      <c r="M91" s="3"/>
      <c r="N91" s="3"/>
      <c r="O91" s="3"/>
      <c r="P91" s="3"/>
      <c r="Q91" s="3"/>
      <c r="R91" s="3"/>
      <c r="S91" s="3"/>
      <c r="T91" s="3"/>
      <c r="U91" s="3"/>
      <c r="V91" s="3"/>
      <c r="W91" s="3"/>
      <c r="X91" s="3"/>
      <c r="Y91" s="3"/>
      <c r="Z91" s="3"/>
    </row>
    <row r="92" ht="15.75" customHeight="1">
      <c r="A92" s="6"/>
      <c r="B92" s="6"/>
      <c r="C92" s="7"/>
      <c r="D92" s="6"/>
      <c r="E92" s="6"/>
      <c r="F92" s="7"/>
      <c r="G92" s="64"/>
      <c r="H92" s="6"/>
      <c r="I92" s="6"/>
      <c r="J92" s="6"/>
      <c r="K92" s="3"/>
      <c r="L92" s="3"/>
      <c r="M92" s="3"/>
      <c r="N92" s="3"/>
      <c r="O92" s="3"/>
      <c r="P92" s="3"/>
      <c r="Q92" s="3"/>
      <c r="R92" s="3"/>
      <c r="S92" s="3"/>
      <c r="T92" s="3"/>
      <c r="U92" s="3"/>
      <c r="V92" s="3"/>
      <c r="W92" s="3"/>
      <c r="X92" s="3"/>
      <c r="Y92" s="3"/>
      <c r="Z92" s="3"/>
    </row>
    <row r="93" ht="15.75" customHeight="1">
      <c r="A93" s="6"/>
      <c r="B93" s="6"/>
      <c r="C93" s="7"/>
      <c r="D93" s="6"/>
      <c r="E93" s="6"/>
      <c r="F93" s="7"/>
      <c r="G93" s="64"/>
      <c r="H93" s="6"/>
      <c r="I93" s="6"/>
      <c r="J93" s="6"/>
      <c r="K93" s="3"/>
      <c r="L93" s="3"/>
      <c r="M93" s="3"/>
      <c r="N93" s="3"/>
      <c r="O93" s="3"/>
      <c r="P93" s="3"/>
      <c r="Q93" s="3"/>
      <c r="R93" s="3"/>
      <c r="S93" s="3"/>
      <c r="T93" s="3"/>
      <c r="U93" s="3"/>
      <c r="V93" s="3"/>
      <c r="W93" s="3"/>
      <c r="X93" s="3"/>
      <c r="Y93" s="3"/>
      <c r="Z93" s="3"/>
    </row>
    <row r="94" ht="15.75" customHeight="1">
      <c r="A94" s="6"/>
      <c r="B94" s="6"/>
      <c r="C94" s="7"/>
      <c r="D94" s="6"/>
      <c r="E94" s="6"/>
      <c r="F94" s="7"/>
      <c r="G94" s="64"/>
      <c r="H94" s="6"/>
      <c r="I94" s="6"/>
      <c r="J94" s="6"/>
      <c r="K94" s="3"/>
      <c r="L94" s="3"/>
      <c r="M94" s="3"/>
      <c r="N94" s="3"/>
      <c r="O94" s="3"/>
      <c r="P94" s="3"/>
      <c r="Q94" s="3"/>
      <c r="R94" s="3"/>
      <c r="S94" s="3"/>
      <c r="T94" s="3"/>
      <c r="U94" s="3"/>
      <c r="V94" s="3"/>
      <c r="W94" s="3"/>
      <c r="X94" s="3"/>
      <c r="Y94" s="3"/>
      <c r="Z94" s="3"/>
    </row>
    <row r="95" ht="15.75" customHeight="1">
      <c r="A95" s="6"/>
      <c r="B95" s="6"/>
      <c r="C95" s="7"/>
      <c r="D95" s="6"/>
      <c r="E95" s="6"/>
      <c r="F95" s="7"/>
      <c r="G95" s="64"/>
      <c r="H95" s="6"/>
      <c r="I95" s="6"/>
      <c r="J95" s="6"/>
      <c r="K95" s="3"/>
      <c r="L95" s="3"/>
      <c r="M95" s="3"/>
      <c r="N95" s="3"/>
      <c r="O95" s="3"/>
      <c r="P95" s="3"/>
      <c r="Q95" s="3"/>
      <c r="R95" s="3"/>
      <c r="S95" s="3"/>
      <c r="T95" s="3"/>
      <c r="U95" s="3"/>
      <c r="V95" s="3"/>
      <c r="W95" s="3"/>
      <c r="X95" s="3"/>
      <c r="Y95" s="3"/>
      <c r="Z95" s="3"/>
    </row>
    <row r="96" ht="15.75" customHeight="1">
      <c r="A96" s="6"/>
      <c r="B96" s="6"/>
      <c r="C96" s="7"/>
      <c r="D96" s="6"/>
      <c r="E96" s="6"/>
      <c r="F96" s="7"/>
      <c r="G96" s="64"/>
      <c r="H96" s="6"/>
      <c r="I96" s="6"/>
      <c r="J96" s="6"/>
      <c r="K96" s="3"/>
      <c r="L96" s="3"/>
      <c r="M96" s="3"/>
      <c r="N96" s="3"/>
      <c r="O96" s="3"/>
      <c r="P96" s="3"/>
      <c r="Q96" s="3"/>
      <c r="R96" s="3"/>
      <c r="S96" s="3"/>
      <c r="T96" s="3"/>
      <c r="U96" s="3"/>
      <c r="V96" s="3"/>
      <c r="W96" s="3"/>
      <c r="X96" s="3"/>
      <c r="Y96" s="3"/>
      <c r="Z96" s="3"/>
    </row>
    <row r="97" ht="15.75" customHeight="1">
      <c r="A97" s="6"/>
      <c r="B97" s="6"/>
      <c r="C97" s="7"/>
      <c r="D97" s="6"/>
      <c r="E97" s="6"/>
      <c r="F97" s="7"/>
      <c r="G97" s="64"/>
      <c r="H97" s="6"/>
      <c r="I97" s="6"/>
      <c r="J97" s="6"/>
      <c r="K97" s="3"/>
      <c r="L97" s="3"/>
      <c r="M97" s="3"/>
      <c r="N97" s="3"/>
      <c r="O97" s="3"/>
      <c r="P97" s="3"/>
      <c r="Q97" s="3"/>
      <c r="R97" s="3"/>
      <c r="S97" s="3"/>
      <c r="T97" s="3"/>
      <c r="U97" s="3"/>
      <c r="V97" s="3"/>
      <c r="W97" s="3"/>
      <c r="X97" s="3"/>
      <c r="Y97" s="3"/>
      <c r="Z97" s="3"/>
    </row>
    <row r="98" ht="15.75" customHeight="1">
      <c r="A98" s="6"/>
      <c r="B98" s="6"/>
      <c r="C98" s="7"/>
      <c r="D98" s="6"/>
      <c r="E98" s="6"/>
      <c r="F98" s="7"/>
      <c r="G98" s="64"/>
      <c r="H98" s="6"/>
      <c r="I98" s="6"/>
      <c r="J98" s="6"/>
      <c r="K98" s="3"/>
      <c r="L98" s="3"/>
      <c r="M98" s="3"/>
      <c r="N98" s="3"/>
      <c r="O98" s="3"/>
      <c r="P98" s="3"/>
      <c r="Q98" s="3"/>
      <c r="R98" s="3"/>
      <c r="S98" s="3"/>
      <c r="T98" s="3"/>
      <c r="U98" s="3"/>
      <c r="V98" s="3"/>
      <c r="W98" s="3"/>
      <c r="X98" s="3"/>
      <c r="Y98" s="3"/>
      <c r="Z98" s="3"/>
    </row>
    <row r="99" ht="15.75" customHeight="1">
      <c r="A99" s="6"/>
      <c r="B99" s="6"/>
      <c r="C99" s="7"/>
      <c r="D99" s="6"/>
      <c r="E99" s="6"/>
      <c r="F99" s="7"/>
      <c r="G99" s="64"/>
      <c r="H99" s="6"/>
      <c r="I99" s="6"/>
      <c r="J99" s="6"/>
      <c r="K99" s="3"/>
      <c r="L99" s="3"/>
      <c r="M99" s="3"/>
      <c r="N99" s="3"/>
      <c r="O99" s="3"/>
      <c r="P99" s="3"/>
      <c r="Q99" s="3"/>
      <c r="R99" s="3"/>
      <c r="S99" s="3"/>
      <c r="T99" s="3"/>
      <c r="U99" s="3"/>
      <c r="V99" s="3"/>
      <c r="W99" s="3"/>
      <c r="X99" s="3"/>
      <c r="Y99" s="3"/>
      <c r="Z99" s="3"/>
    </row>
    <row r="100" ht="15.75" customHeight="1">
      <c r="A100" s="6"/>
      <c r="B100" s="6"/>
      <c r="C100" s="7"/>
      <c r="D100" s="6"/>
      <c r="E100" s="6"/>
      <c r="F100" s="7"/>
      <c r="G100" s="64"/>
      <c r="H100" s="6"/>
      <c r="I100" s="6"/>
      <c r="J100" s="6"/>
      <c r="K100" s="3"/>
      <c r="L100" s="3"/>
      <c r="M100" s="3"/>
      <c r="N100" s="3"/>
      <c r="O100" s="3"/>
      <c r="P100" s="3"/>
      <c r="Q100" s="3"/>
      <c r="R100" s="3"/>
      <c r="S100" s="3"/>
      <c r="T100" s="3"/>
      <c r="U100" s="3"/>
      <c r="V100" s="3"/>
      <c r="W100" s="3"/>
      <c r="X100" s="3"/>
      <c r="Y100" s="3"/>
      <c r="Z100" s="3"/>
    </row>
    <row r="101" ht="15.75" customHeight="1">
      <c r="A101" s="6"/>
      <c r="B101" s="6"/>
      <c r="C101" s="7"/>
      <c r="D101" s="6"/>
      <c r="E101" s="6"/>
      <c r="F101" s="7"/>
      <c r="G101" s="64"/>
      <c r="H101" s="6"/>
      <c r="I101" s="6"/>
      <c r="J101" s="6"/>
      <c r="K101" s="3"/>
      <c r="L101" s="3"/>
      <c r="M101" s="3"/>
      <c r="N101" s="3"/>
      <c r="O101" s="3"/>
      <c r="P101" s="3"/>
      <c r="Q101" s="3"/>
      <c r="R101" s="3"/>
      <c r="S101" s="3"/>
      <c r="T101" s="3"/>
      <c r="U101" s="3"/>
      <c r="V101" s="3"/>
      <c r="W101" s="3"/>
      <c r="X101" s="3"/>
      <c r="Y101" s="3"/>
      <c r="Z101" s="3"/>
    </row>
    <row r="102" ht="15.75" customHeight="1">
      <c r="A102" s="6"/>
      <c r="B102" s="6"/>
      <c r="C102" s="7"/>
      <c r="D102" s="6"/>
      <c r="E102" s="6"/>
      <c r="F102" s="7"/>
      <c r="G102" s="64"/>
      <c r="H102" s="6"/>
      <c r="I102" s="6"/>
      <c r="J102" s="6"/>
      <c r="K102" s="3"/>
      <c r="L102" s="3"/>
      <c r="M102" s="3"/>
      <c r="N102" s="3"/>
      <c r="O102" s="3"/>
      <c r="P102" s="3"/>
      <c r="Q102" s="3"/>
      <c r="R102" s="3"/>
      <c r="S102" s="3"/>
      <c r="T102" s="3"/>
      <c r="U102" s="3"/>
      <c r="V102" s="3"/>
      <c r="W102" s="3"/>
      <c r="X102" s="3"/>
      <c r="Y102" s="3"/>
      <c r="Z102" s="3"/>
    </row>
    <row r="103" ht="15.75" customHeight="1">
      <c r="A103" s="6"/>
      <c r="B103" s="6"/>
      <c r="C103" s="7"/>
      <c r="D103" s="6"/>
      <c r="E103" s="6"/>
      <c r="F103" s="7"/>
      <c r="G103" s="64"/>
      <c r="H103" s="6"/>
      <c r="I103" s="6"/>
      <c r="J103" s="6"/>
      <c r="K103" s="3"/>
      <c r="L103" s="3"/>
      <c r="M103" s="3"/>
      <c r="N103" s="3"/>
      <c r="O103" s="3"/>
      <c r="P103" s="3"/>
      <c r="Q103" s="3"/>
      <c r="R103" s="3"/>
      <c r="S103" s="3"/>
      <c r="T103" s="3"/>
      <c r="U103" s="3"/>
      <c r="V103" s="3"/>
      <c r="W103" s="3"/>
      <c r="X103" s="3"/>
      <c r="Y103" s="3"/>
      <c r="Z103" s="3"/>
    </row>
    <row r="104" ht="15.75" customHeight="1">
      <c r="A104" s="6"/>
      <c r="B104" s="6"/>
      <c r="C104" s="7"/>
      <c r="D104" s="6"/>
      <c r="E104" s="6"/>
      <c r="F104" s="7"/>
      <c r="G104" s="64"/>
      <c r="H104" s="6"/>
      <c r="I104" s="6"/>
      <c r="J104" s="6"/>
      <c r="K104" s="3"/>
      <c r="L104" s="3"/>
      <c r="M104" s="3"/>
      <c r="N104" s="3"/>
      <c r="O104" s="3"/>
      <c r="P104" s="3"/>
      <c r="Q104" s="3"/>
      <c r="R104" s="3"/>
      <c r="S104" s="3"/>
      <c r="T104" s="3"/>
      <c r="U104" s="3"/>
      <c r="V104" s="3"/>
      <c r="W104" s="3"/>
      <c r="X104" s="3"/>
      <c r="Y104" s="3"/>
      <c r="Z104" s="3"/>
    </row>
    <row r="105" ht="15.75" customHeight="1">
      <c r="A105" s="6"/>
      <c r="B105" s="6"/>
      <c r="C105" s="7"/>
      <c r="D105" s="6"/>
      <c r="E105" s="6"/>
      <c r="F105" s="7"/>
      <c r="G105" s="64"/>
      <c r="H105" s="6"/>
      <c r="I105" s="6"/>
      <c r="J105" s="6"/>
      <c r="K105" s="3"/>
      <c r="L105" s="3"/>
      <c r="M105" s="3"/>
      <c r="N105" s="3"/>
      <c r="O105" s="3"/>
      <c r="P105" s="3"/>
      <c r="Q105" s="3"/>
      <c r="R105" s="3"/>
      <c r="S105" s="3"/>
      <c r="T105" s="3"/>
      <c r="U105" s="3"/>
      <c r="V105" s="3"/>
      <c r="W105" s="3"/>
      <c r="X105" s="3"/>
      <c r="Y105" s="3"/>
      <c r="Z105" s="3"/>
    </row>
    <row r="106" ht="15.75" customHeight="1">
      <c r="A106" s="6"/>
      <c r="B106" s="6"/>
      <c r="C106" s="7"/>
      <c r="D106" s="6"/>
      <c r="E106" s="6"/>
      <c r="F106" s="7"/>
      <c r="G106" s="64"/>
      <c r="H106" s="6"/>
      <c r="I106" s="6"/>
      <c r="J106" s="6"/>
      <c r="K106" s="3"/>
      <c r="L106" s="3"/>
      <c r="M106" s="3"/>
      <c r="N106" s="3"/>
      <c r="O106" s="3"/>
      <c r="P106" s="3"/>
      <c r="Q106" s="3"/>
      <c r="R106" s="3"/>
      <c r="S106" s="3"/>
      <c r="T106" s="3"/>
      <c r="U106" s="3"/>
      <c r="V106" s="3"/>
      <c r="W106" s="3"/>
      <c r="X106" s="3"/>
      <c r="Y106" s="3"/>
      <c r="Z106" s="3"/>
    </row>
    <row r="107" ht="15.75" customHeight="1">
      <c r="A107" s="6"/>
      <c r="B107" s="6"/>
      <c r="C107" s="7"/>
      <c r="D107" s="6"/>
      <c r="E107" s="6"/>
      <c r="F107" s="7"/>
      <c r="G107" s="64"/>
      <c r="H107" s="6"/>
      <c r="I107" s="6"/>
      <c r="J107" s="6"/>
      <c r="K107" s="3"/>
      <c r="L107" s="3"/>
      <c r="M107" s="3"/>
      <c r="N107" s="3"/>
      <c r="O107" s="3"/>
      <c r="P107" s="3"/>
      <c r="Q107" s="3"/>
      <c r="R107" s="3"/>
      <c r="S107" s="3"/>
      <c r="T107" s="3"/>
      <c r="U107" s="3"/>
      <c r="V107" s="3"/>
      <c r="W107" s="3"/>
      <c r="X107" s="3"/>
      <c r="Y107" s="3"/>
      <c r="Z107" s="3"/>
    </row>
    <row r="108" ht="15.75" customHeight="1">
      <c r="A108" s="6"/>
      <c r="B108" s="6"/>
      <c r="C108" s="7"/>
      <c r="D108" s="6"/>
      <c r="E108" s="6"/>
      <c r="F108" s="7"/>
      <c r="G108" s="64"/>
      <c r="H108" s="6"/>
      <c r="I108" s="6"/>
      <c r="J108" s="6"/>
      <c r="K108" s="3"/>
      <c r="L108" s="3"/>
      <c r="M108" s="3"/>
      <c r="N108" s="3"/>
      <c r="O108" s="3"/>
      <c r="P108" s="3"/>
      <c r="Q108" s="3"/>
      <c r="R108" s="3"/>
      <c r="S108" s="3"/>
      <c r="T108" s="3"/>
      <c r="U108" s="3"/>
      <c r="V108" s="3"/>
      <c r="W108" s="3"/>
      <c r="X108" s="3"/>
      <c r="Y108" s="3"/>
      <c r="Z108" s="3"/>
    </row>
    <row r="109" ht="15.75" customHeight="1">
      <c r="A109" s="6"/>
      <c r="B109" s="6"/>
      <c r="C109" s="7"/>
      <c r="D109" s="6"/>
      <c r="E109" s="6"/>
      <c r="F109" s="7"/>
      <c r="G109" s="64"/>
      <c r="H109" s="6"/>
      <c r="I109" s="6"/>
      <c r="J109" s="6"/>
      <c r="K109" s="3"/>
      <c r="L109" s="3"/>
      <c r="M109" s="3"/>
      <c r="N109" s="3"/>
      <c r="O109" s="3"/>
      <c r="P109" s="3"/>
      <c r="Q109" s="3"/>
      <c r="R109" s="3"/>
      <c r="S109" s="3"/>
      <c r="T109" s="3"/>
      <c r="U109" s="3"/>
      <c r="V109" s="3"/>
      <c r="W109" s="3"/>
      <c r="X109" s="3"/>
      <c r="Y109" s="3"/>
      <c r="Z109" s="3"/>
    </row>
    <row r="110" ht="15.75" customHeight="1">
      <c r="A110" s="6"/>
      <c r="B110" s="6"/>
      <c r="C110" s="7"/>
      <c r="D110" s="6"/>
      <c r="E110" s="6"/>
      <c r="F110" s="7"/>
      <c r="G110" s="64"/>
      <c r="H110" s="6"/>
      <c r="I110" s="6"/>
      <c r="J110" s="6"/>
      <c r="K110" s="3"/>
      <c r="L110" s="3"/>
      <c r="M110" s="3"/>
      <c r="N110" s="3"/>
      <c r="O110" s="3"/>
      <c r="P110" s="3"/>
      <c r="Q110" s="3"/>
      <c r="R110" s="3"/>
      <c r="S110" s="3"/>
      <c r="T110" s="3"/>
      <c r="U110" s="3"/>
      <c r="V110" s="3"/>
      <c r="W110" s="3"/>
      <c r="X110" s="3"/>
      <c r="Y110" s="3"/>
      <c r="Z110" s="3"/>
    </row>
    <row r="111" ht="15.75" customHeight="1">
      <c r="A111" s="6"/>
      <c r="B111" s="6"/>
      <c r="C111" s="7"/>
      <c r="D111" s="6"/>
      <c r="E111" s="6"/>
      <c r="F111" s="7"/>
      <c r="G111" s="64"/>
      <c r="H111" s="6"/>
      <c r="I111" s="6"/>
      <c r="J111" s="6"/>
      <c r="K111" s="3"/>
      <c r="L111" s="3"/>
      <c r="M111" s="3"/>
      <c r="N111" s="3"/>
      <c r="O111" s="3"/>
      <c r="P111" s="3"/>
      <c r="Q111" s="3"/>
      <c r="R111" s="3"/>
      <c r="S111" s="3"/>
      <c r="T111" s="3"/>
      <c r="U111" s="3"/>
      <c r="V111" s="3"/>
      <c r="W111" s="3"/>
      <c r="X111" s="3"/>
      <c r="Y111" s="3"/>
      <c r="Z111" s="3"/>
    </row>
    <row r="112" ht="15.75" customHeight="1">
      <c r="A112" s="6"/>
      <c r="B112" s="6"/>
      <c r="C112" s="7"/>
      <c r="D112" s="6"/>
      <c r="E112" s="6"/>
      <c r="F112" s="7"/>
      <c r="G112" s="64"/>
      <c r="H112" s="6"/>
      <c r="I112" s="6"/>
      <c r="J112" s="6"/>
      <c r="K112" s="3"/>
      <c r="L112" s="3"/>
      <c r="M112" s="3"/>
      <c r="N112" s="3"/>
      <c r="O112" s="3"/>
      <c r="P112" s="3"/>
      <c r="Q112" s="3"/>
      <c r="R112" s="3"/>
      <c r="S112" s="3"/>
      <c r="T112" s="3"/>
      <c r="U112" s="3"/>
      <c r="V112" s="3"/>
      <c r="W112" s="3"/>
      <c r="X112" s="3"/>
      <c r="Y112" s="3"/>
      <c r="Z112" s="3"/>
    </row>
    <row r="113" ht="15.75" customHeight="1">
      <c r="A113" s="6"/>
      <c r="B113" s="6"/>
      <c r="C113" s="7"/>
      <c r="D113" s="6"/>
      <c r="E113" s="6"/>
      <c r="F113" s="7"/>
      <c r="G113" s="64"/>
      <c r="H113" s="6"/>
      <c r="I113" s="6"/>
      <c r="J113" s="6"/>
      <c r="K113" s="3"/>
      <c r="L113" s="3"/>
      <c r="M113" s="3"/>
      <c r="N113" s="3"/>
      <c r="O113" s="3"/>
      <c r="P113" s="3"/>
      <c r="Q113" s="3"/>
      <c r="R113" s="3"/>
      <c r="S113" s="3"/>
      <c r="T113" s="3"/>
      <c r="U113" s="3"/>
      <c r="V113" s="3"/>
      <c r="W113" s="3"/>
      <c r="X113" s="3"/>
      <c r="Y113" s="3"/>
      <c r="Z113" s="3"/>
    </row>
    <row r="114" ht="15.75" customHeight="1">
      <c r="A114" s="6"/>
      <c r="B114" s="6"/>
      <c r="C114" s="7"/>
      <c r="D114" s="6"/>
      <c r="E114" s="6"/>
      <c r="F114" s="7"/>
      <c r="G114" s="64"/>
      <c r="H114" s="6"/>
      <c r="I114" s="6"/>
      <c r="J114" s="6"/>
      <c r="K114" s="3"/>
      <c r="L114" s="3"/>
      <c r="M114" s="3"/>
      <c r="N114" s="3"/>
      <c r="O114" s="3"/>
      <c r="P114" s="3"/>
      <c r="Q114" s="3"/>
      <c r="R114" s="3"/>
      <c r="S114" s="3"/>
      <c r="T114" s="3"/>
      <c r="U114" s="3"/>
      <c r="V114" s="3"/>
      <c r="W114" s="3"/>
      <c r="X114" s="3"/>
      <c r="Y114" s="3"/>
      <c r="Z114" s="3"/>
    </row>
    <row r="115" ht="15.75" customHeight="1">
      <c r="A115" s="6"/>
      <c r="B115" s="6"/>
      <c r="C115" s="7"/>
      <c r="D115" s="6"/>
      <c r="E115" s="6"/>
      <c r="F115" s="7"/>
      <c r="G115" s="64"/>
      <c r="H115" s="6"/>
      <c r="I115" s="6"/>
      <c r="J115" s="6"/>
      <c r="K115" s="3"/>
      <c r="L115" s="3"/>
      <c r="M115" s="3"/>
      <c r="N115" s="3"/>
      <c r="O115" s="3"/>
      <c r="P115" s="3"/>
      <c r="Q115" s="3"/>
      <c r="R115" s="3"/>
      <c r="S115" s="3"/>
      <c r="T115" s="3"/>
      <c r="U115" s="3"/>
      <c r="V115" s="3"/>
      <c r="W115" s="3"/>
      <c r="X115" s="3"/>
      <c r="Y115" s="3"/>
      <c r="Z115" s="3"/>
    </row>
    <row r="116" ht="15.75" customHeight="1">
      <c r="A116" s="6"/>
      <c r="B116" s="6"/>
      <c r="C116" s="7"/>
      <c r="D116" s="6"/>
      <c r="E116" s="6"/>
      <c r="F116" s="7"/>
      <c r="G116" s="64"/>
      <c r="H116" s="6"/>
      <c r="I116" s="6"/>
      <c r="J116" s="6"/>
      <c r="K116" s="3"/>
      <c r="L116" s="3"/>
      <c r="M116" s="3"/>
      <c r="N116" s="3"/>
      <c r="O116" s="3"/>
      <c r="P116" s="3"/>
      <c r="Q116" s="3"/>
      <c r="R116" s="3"/>
      <c r="S116" s="3"/>
      <c r="T116" s="3"/>
      <c r="U116" s="3"/>
      <c r="V116" s="3"/>
      <c r="W116" s="3"/>
      <c r="X116" s="3"/>
      <c r="Y116" s="3"/>
      <c r="Z116" s="3"/>
    </row>
    <row r="117" ht="15.75" customHeight="1">
      <c r="A117" s="6"/>
      <c r="B117" s="6"/>
      <c r="C117" s="7"/>
      <c r="D117" s="6"/>
      <c r="E117" s="6"/>
      <c r="F117" s="7"/>
      <c r="G117" s="64"/>
      <c r="H117" s="6"/>
      <c r="I117" s="6"/>
      <c r="J117" s="6"/>
      <c r="K117" s="3"/>
      <c r="L117" s="3"/>
      <c r="M117" s="3"/>
      <c r="N117" s="3"/>
      <c r="O117" s="3"/>
      <c r="P117" s="3"/>
      <c r="Q117" s="3"/>
      <c r="R117" s="3"/>
      <c r="S117" s="3"/>
      <c r="T117" s="3"/>
      <c r="U117" s="3"/>
      <c r="V117" s="3"/>
      <c r="W117" s="3"/>
      <c r="X117" s="3"/>
      <c r="Y117" s="3"/>
      <c r="Z117" s="3"/>
    </row>
    <row r="118" ht="15.75" customHeight="1">
      <c r="A118" s="6"/>
      <c r="B118" s="6"/>
      <c r="C118" s="7"/>
      <c r="D118" s="6"/>
      <c r="E118" s="6"/>
      <c r="F118" s="7"/>
      <c r="G118" s="64"/>
      <c r="H118" s="6"/>
      <c r="I118" s="6"/>
      <c r="J118" s="6"/>
      <c r="K118" s="3"/>
      <c r="L118" s="3"/>
      <c r="M118" s="3"/>
      <c r="N118" s="3"/>
      <c r="O118" s="3"/>
      <c r="P118" s="3"/>
      <c r="Q118" s="3"/>
      <c r="R118" s="3"/>
      <c r="S118" s="3"/>
      <c r="T118" s="3"/>
      <c r="U118" s="3"/>
      <c r="V118" s="3"/>
      <c r="W118" s="3"/>
      <c r="X118" s="3"/>
      <c r="Y118" s="3"/>
      <c r="Z118" s="3"/>
    </row>
    <row r="119" ht="15.75" customHeight="1">
      <c r="A119" s="6"/>
      <c r="B119" s="6"/>
      <c r="C119" s="7"/>
      <c r="D119" s="6"/>
      <c r="E119" s="6"/>
      <c r="F119" s="7"/>
      <c r="G119" s="64"/>
      <c r="H119" s="6"/>
      <c r="I119" s="6"/>
      <c r="J119" s="6"/>
      <c r="K119" s="3"/>
      <c r="L119" s="3"/>
      <c r="M119" s="3"/>
      <c r="N119" s="3"/>
      <c r="O119" s="3"/>
      <c r="P119" s="3"/>
      <c r="Q119" s="3"/>
      <c r="R119" s="3"/>
      <c r="S119" s="3"/>
      <c r="T119" s="3"/>
      <c r="U119" s="3"/>
      <c r="V119" s="3"/>
      <c r="W119" s="3"/>
      <c r="X119" s="3"/>
      <c r="Y119" s="3"/>
      <c r="Z119" s="3"/>
    </row>
    <row r="120" ht="15.75" customHeight="1">
      <c r="A120" s="6"/>
      <c r="B120" s="6"/>
      <c r="C120" s="7"/>
      <c r="D120" s="6"/>
      <c r="E120" s="6"/>
      <c r="F120" s="7"/>
      <c r="G120" s="64"/>
      <c r="H120" s="6"/>
      <c r="I120" s="6"/>
      <c r="J120" s="6"/>
      <c r="K120" s="3"/>
      <c r="L120" s="3"/>
      <c r="M120" s="3"/>
      <c r="N120" s="3"/>
      <c r="O120" s="3"/>
      <c r="P120" s="3"/>
      <c r="Q120" s="3"/>
      <c r="R120" s="3"/>
      <c r="S120" s="3"/>
      <c r="T120" s="3"/>
      <c r="U120" s="3"/>
      <c r="V120" s="3"/>
      <c r="W120" s="3"/>
      <c r="X120" s="3"/>
      <c r="Y120" s="3"/>
      <c r="Z120" s="3"/>
    </row>
    <row r="121" ht="15.75" customHeight="1">
      <c r="A121" s="6"/>
      <c r="B121" s="6"/>
      <c r="C121" s="7"/>
      <c r="D121" s="6"/>
      <c r="E121" s="6"/>
      <c r="F121" s="7"/>
      <c r="G121" s="64"/>
      <c r="H121" s="6"/>
      <c r="I121" s="6"/>
      <c r="J121" s="6"/>
      <c r="K121" s="3"/>
      <c r="L121" s="3"/>
      <c r="M121" s="3"/>
      <c r="N121" s="3"/>
      <c r="O121" s="3"/>
      <c r="P121" s="3"/>
      <c r="Q121" s="3"/>
      <c r="R121" s="3"/>
      <c r="S121" s="3"/>
      <c r="T121" s="3"/>
      <c r="U121" s="3"/>
      <c r="V121" s="3"/>
      <c r="W121" s="3"/>
      <c r="X121" s="3"/>
      <c r="Y121" s="3"/>
      <c r="Z121" s="3"/>
    </row>
    <row r="122" ht="15.75" customHeight="1">
      <c r="A122" s="6"/>
      <c r="B122" s="6"/>
      <c r="C122" s="7"/>
      <c r="D122" s="6"/>
      <c r="E122" s="6"/>
      <c r="F122" s="7"/>
      <c r="G122" s="64"/>
      <c r="H122" s="6"/>
      <c r="I122" s="6"/>
      <c r="J122" s="6"/>
      <c r="K122" s="3"/>
      <c r="L122" s="3"/>
      <c r="M122" s="3"/>
      <c r="N122" s="3"/>
      <c r="O122" s="3"/>
      <c r="P122" s="3"/>
      <c r="Q122" s="3"/>
      <c r="R122" s="3"/>
      <c r="S122" s="3"/>
      <c r="T122" s="3"/>
      <c r="U122" s="3"/>
      <c r="V122" s="3"/>
      <c r="W122" s="3"/>
      <c r="X122" s="3"/>
      <c r="Y122" s="3"/>
      <c r="Z122" s="3"/>
    </row>
    <row r="123" ht="15.75" customHeight="1">
      <c r="A123" s="6"/>
      <c r="B123" s="6"/>
      <c r="C123" s="7"/>
      <c r="D123" s="6"/>
      <c r="E123" s="6"/>
      <c r="F123" s="7"/>
      <c r="G123" s="64"/>
      <c r="H123" s="6"/>
      <c r="I123" s="6"/>
      <c r="J123" s="6"/>
      <c r="K123" s="3"/>
      <c r="L123" s="3"/>
      <c r="M123" s="3"/>
      <c r="N123" s="3"/>
      <c r="O123" s="3"/>
      <c r="P123" s="3"/>
      <c r="Q123" s="3"/>
      <c r="R123" s="3"/>
      <c r="S123" s="3"/>
      <c r="T123" s="3"/>
      <c r="U123" s="3"/>
      <c r="V123" s="3"/>
      <c r="W123" s="3"/>
      <c r="X123" s="3"/>
      <c r="Y123" s="3"/>
      <c r="Z123" s="3"/>
    </row>
    <row r="124" ht="15.75" customHeight="1">
      <c r="A124" s="6"/>
      <c r="B124" s="6"/>
      <c r="C124" s="7"/>
      <c r="D124" s="6"/>
      <c r="E124" s="6"/>
      <c r="F124" s="7"/>
      <c r="G124" s="64"/>
      <c r="H124" s="6"/>
      <c r="I124" s="6"/>
      <c r="J124" s="6"/>
      <c r="K124" s="3"/>
      <c r="L124" s="3"/>
      <c r="M124" s="3"/>
      <c r="N124" s="3"/>
      <c r="O124" s="3"/>
      <c r="P124" s="3"/>
      <c r="Q124" s="3"/>
      <c r="R124" s="3"/>
      <c r="S124" s="3"/>
      <c r="T124" s="3"/>
      <c r="U124" s="3"/>
      <c r="V124" s="3"/>
      <c r="W124" s="3"/>
      <c r="X124" s="3"/>
      <c r="Y124" s="3"/>
      <c r="Z124" s="3"/>
    </row>
    <row r="125" ht="15.75" customHeight="1">
      <c r="A125" s="6"/>
      <c r="B125" s="6"/>
      <c r="C125" s="7"/>
      <c r="D125" s="6"/>
      <c r="E125" s="6"/>
      <c r="F125" s="7"/>
      <c r="G125" s="64"/>
      <c r="H125" s="6"/>
      <c r="I125" s="6"/>
      <c r="J125" s="6"/>
      <c r="K125" s="3"/>
      <c r="L125" s="3"/>
      <c r="M125" s="3"/>
      <c r="N125" s="3"/>
      <c r="O125" s="3"/>
      <c r="P125" s="3"/>
      <c r="Q125" s="3"/>
      <c r="R125" s="3"/>
      <c r="S125" s="3"/>
      <c r="T125" s="3"/>
      <c r="U125" s="3"/>
      <c r="V125" s="3"/>
      <c r="W125" s="3"/>
      <c r="X125" s="3"/>
      <c r="Y125" s="3"/>
      <c r="Z125" s="3"/>
    </row>
    <row r="126" ht="15.75" customHeight="1">
      <c r="A126" s="6"/>
      <c r="B126" s="6"/>
      <c r="C126" s="7"/>
      <c r="D126" s="6"/>
      <c r="E126" s="6"/>
      <c r="F126" s="7"/>
      <c r="G126" s="64"/>
      <c r="H126" s="6"/>
      <c r="I126" s="6"/>
      <c r="J126" s="6"/>
      <c r="K126" s="3"/>
      <c r="L126" s="3"/>
      <c r="M126" s="3"/>
      <c r="N126" s="3"/>
      <c r="O126" s="3"/>
      <c r="P126" s="3"/>
      <c r="Q126" s="3"/>
      <c r="R126" s="3"/>
      <c r="S126" s="3"/>
      <c r="T126" s="3"/>
      <c r="U126" s="3"/>
      <c r="V126" s="3"/>
      <c r="W126" s="3"/>
      <c r="X126" s="3"/>
      <c r="Y126" s="3"/>
      <c r="Z126" s="3"/>
    </row>
    <row r="127" ht="15.75" customHeight="1">
      <c r="A127" s="6"/>
      <c r="B127" s="6"/>
      <c r="C127" s="7"/>
      <c r="D127" s="6"/>
      <c r="E127" s="6"/>
      <c r="F127" s="7"/>
      <c r="G127" s="64"/>
      <c r="H127" s="6"/>
      <c r="I127" s="6"/>
      <c r="J127" s="6"/>
      <c r="K127" s="3"/>
      <c r="L127" s="3"/>
      <c r="M127" s="3"/>
      <c r="N127" s="3"/>
      <c r="O127" s="3"/>
      <c r="P127" s="3"/>
      <c r="Q127" s="3"/>
      <c r="R127" s="3"/>
      <c r="S127" s="3"/>
      <c r="T127" s="3"/>
      <c r="U127" s="3"/>
      <c r="V127" s="3"/>
      <c r="W127" s="3"/>
      <c r="X127" s="3"/>
      <c r="Y127" s="3"/>
      <c r="Z127" s="3"/>
    </row>
    <row r="128" ht="15.75" customHeight="1">
      <c r="A128" s="6"/>
      <c r="B128" s="6"/>
      <c r="C128" s="7"/>
      <c r="D128" s="6"/>
      <c r="E128" s="6"/>
      <c r="F128" s="7"/>
      <c r="G128" s="64"/>
      <c r="H128" s="6"/>
      <c r="I128" s="6"/>
      <c r="J128" s="6"/>
      <c r="K128" s="3"/>
      <c r="L128" s="3"/>
      <c r="M128" s="3"/>
      <c r="N128" s="3"/>
      <c r="O128" s="3"/>
      <c r="P128" s="3"/>
      <c r="Q128" s="3"/>
      <c r="R128" s="3"/>
      <c r="S128" s="3"/>
      <c r="T128" s="3"/>
      <c r="U128" s="3"/>
      <c r="V128" s="3"/>
      <c r="W128" s="3"/>
      <c r="X128" s="3"/>
      <c r="Y128" s="3"/>
      <c r="Z128" s="3"/>
    </row>
    <row r="129" ht="15.75" customHeight="1">
      <c r="A129" s="6"/>
      <c r="B129" s="6"/>
      <c r="C129" s="7"/>
      <c r="D129" s="6"/>
      <c r="E129" s="6"/>
      <c r="F129" s="7"/>
      <c r="G129" s="64"/>
      <c r="H129" s="6"/>
      <c r="I129" s="6"/>
      <c r="J129" s="6"/>
      <c r="K129" s="3"/>
      <c r="L129" s="3"/>
      <c r="M129" s="3"/>
      <c r="N129" s="3"/>
      <c r="O129" s="3"/>
      <c r="P129" s="3"/>
      <c r="Q129" s="3"/>
      <c r="R129" s="3"/>
      <c r="S129" s="3"/>
      <c r="T129" s="3"/>
      <c r="U129" s="3"/>
      <c r="V129" s="3"/>
      <c r="W129" s="3"/>
      <c r="X129" s="3"/>
      <c r="Y129" s="3"/>
      <c r="Z129" s="3"/>
    </row>
    <row r="130" ht="15.75" customHeight="1">
      <c r="A130" s="6"/>
      <c r="B130" s="6"/>
      <c r="C130" s="7"/>
      <c r="D130" s="6"/>
      <c r="E130" s="6"/>
      <c r="F130" s="7"/>
      <c r="G130" s="64"/>
      <c r="H130" s="6"/>
      <c r="I130" s="6"/>
      <c r="J130" s="6"/>
      <c r="K130" s="3"/>
      <c r="L130" s="3"/>
      <c r="M130" s="3"/>
      <c r="N130" s="3"/>
      <c r="O130" s="3"/>
      <c r="P130" s="3"/>
      <c r="Q130" s="3"/>
      <c r="R130" s="3"/>
      <c r="S130" s="3"/>
      <c r="T130" s="3"/>
      <c r="U130" s="3"/>
      <c r="V130" s="3"/>
      <c r="W130" s="3"/>
      <c r="X130" s="3"/>
      <c r="Y130" s="3"/>
      <c r="Z130" s="3"/>
    </row>
    <row r="131" ht="15.75" customHeight="1">
      <c r="A131" s="6"/>
      <c r="B131" s="6"/>
      <c r="C131" s="7"/>
      <c r="D131" s="6"/>
      <c r="E131" s="6"/>
      <c r="F131" s="7"/>
      <c r="G131" s="64"/>
      <c r="H131" s="6"/>
      <c r="I131" s="6"/>
      <c r="J131" s="6"/>
      <c r="K131" s="3"/>
      <c r="L131" s="3"/>
      <c r="M131" s="3"/>
      <c r="N131" s="3"/>
      <c r="O131" s="3"/>
      <c r="P131" s="3"/>
      <c r="Q131" s="3"/>
      <c r="R131" s="3"/>
      <c r="S131" s="3"/>
      <c r="T131" s="3"/>
      <c r="U131" s="3"/>
      <c r="V131" s="3"/>
      <c r="W131" s="3"/>
      <c r="X131" s="3"/>
      <c r="Y131" s="3"/>
      <c r="Z131" s="3"/>
    </row>
    <row r="132" ht="15.75" customHeight="1">
      <c r="A132" s="6"/>
      <c r="B132" s="6"/>
      <c r="C132" s="7"/>
      <c r="D132" s="6"/>
      <c r="E132" s="6"/>
      <c r="F132" s="7"/>
      <c r="G132" s="64"/>
      <c r="H132" s="6"/>
      <c r="I132" s="6"/>
      <c r="J132" s="6"/>
      <c r="K132" s="3"/>
      <c r="L132" s="3"/>
      <c r="M132" s="3"/>
      <c r="N132" s="3"/>
      <c r="O132" s="3"/>
      <c r="P132" s="3"/>
      <c r="Q132" s="3"/>
      <c r="R132" s="3"/>
      <c r="S132" s="3"/>
      <c r="T132" s="3"/>
      <c r="U132" s="3"/>
      <c r="V132" s="3"/>
      <c r="W132" s="3"/>
      <c r="X132" s="3"/>
      <c r="Y132" s="3"/>
      <c r="Z132" s="3"/>
    </row>
    <row r="133" ht="15.75" customHeight="1">
      <c r="A133" s="6"/>
      <c r="B133" s="6"/>
      <c r="C133" s="7"/>
      <c r="D133" s="6"/>
      <c r="E133" s="6"/>
      <c r="F133" s="7"/>
      <c r="G133" s="64"/>
      <c r="H133" s="6"/>
      <c r="I133" s="6"/>
      <c r="J133" s="6"/>
      <c r="K133" s="3"/>
      <c r="L133" s="3"/>
      <c r="M133" s="3"/>
      <c r="N133" s="3"/>
      <c r="O133" s="3"/>
      <c r="P133" s="3"/>
      <c r="Q133" s="3"/>
      <c r="R133" s="3"/>
      <c r="S133" s="3"/>
      <c r="T133" s="3"/>
      <c r="U133" s="3"/>
      <c r="V133" s="3"/>
      <c r="W133" s="3"/>
      <c r="X133" s="3"/>
      <c r="Y133" s="3"/>
      <c r="Z133" s="3"/>
    </row>
    <row r="134" ht="15.75" customHeight="1">
      <c r="A134" s="6"/>
      <c r="B134" s="6"/>
      <c r="C134" s="7"/>
      <c r="D134" s="6"/>
      <c r="E134" s="6"/>
      <c r="F134" s="7"/>
      <c r="G134" s="64"/>
      <c r="H134" s="6"/>
      <c r="I134" s="6"/>
      <c r="J134" s="6"/>
      <c r="K134" s="3"/>
      <c r="L134" s="3"/>
      <c r="M134" s="3"/>
      <c r="N134" s="3"/>
      <c r="O134" s="3"/>
      <c r="P134" s="3"/>
      <c r="Q134" s="3"/>
      <c r="R134" s="3"/>
      <c r="S134" s="3"/>
      <c r="T134" s="3"/>
      <c r="U134" s="3"/>
      <c r="V134" s="3"/>
      <c r="W134" s="3"/>
      <c r="X134" s="3"/>
      <c r="Y134" s="3"/>
      <c r="Z134" s="3"/>
    </row>
    <row r="135" ht="15.75" customHeight="1">
      <c r="A135" s="6"/>
      <c r="B135" s="6"/>
      <c r="C135" s="7"/>
      <c r="D135" s="6"/>
      <c r="E135" s="6"/>
      <c r="F135" s="7"/>
      <c r="G135" s="64"/>
      <c r="H135" s="6"/>
      <c r="I135" s="6"/>
      <c r="J135" s="6"/>
      <c r="K135" s="3"/>
      <c r="L135" s="3"/>
      <c r="M135" s="3"/>
      <c r="N135" s="3"/>
      <c r="O135" s="3"/>
      <c r="P135" s="3"/>
      <c r="Q135" s="3"/>
      <c r="R135" s="3"/>
      <c r="S135" s="3"/>
      <c r="T135" s="3"/>
      <c r="U135" s="3"/>
      <c r="V135" s="3"/>
      <c r="W135" s="3"/>
      <c r="X135" s="3"/>
      <c r="Y135" s="3"/>
      <c r="Z135" s="3"/>
    </row>
    <row r="136" ht="15.75" customHeight="1">
      <c r="A136" s="6"/>
      <c r="B136" s="6"/>
      <c r="C136" s="7"/>
      <c r="D136" s="6"/>
      <c r="E136" s="6"/>
      <c r="F136" s="7"/>
      <c r="G136" s="64"/>
      <c r="H136" s="6"/>
      <c r="I136" s="6"/>
      <c r="J136" s="6"/>
      <c r="K136" s="3"/>
      <c r="L136" s="3"/>
      <c r="M136" s="3"/>
      <c r="N136" s="3"/>
      <c r="O136" s="3"/>
      <c r="P136" s="3"/>
      <c r="Q136" s="3"/>
      <c r="R136" s="3"/>
      <c r="S136" s="3"/>
      <c r="T136" s="3"/>
      <c r="U136" s="3"/>
      <c r="V136" s="3"/>
      <c r="W136" s="3"/>
      <c r="X136" s="3"/>
      <c r="Y136" s="3"/>
      <c r="Z136" s="3"/>
    </row>
    <row r="137" ht="15.75" customHeight="1">
      <c r="A137" s="6"/>
      <c r="B137" s="6"/>
      <c r="C137" s="7"/>
      <c r="D137" s="6"/>
      <c r="E137" s="6"/>
      <c r="F137" s="7"/>
      <c r="G137" s="64"/>
      <c r="H137" s="6"/>
      <c r="I137" s="6"/>
      <c r="J137" s="6"/>
      <c r="K137" s="3"/>
      <c r="L137" s="3"/>
      <c r="M137" s="3"/>
      <c r="N137" s="3"/>
      <c r="O137" s="3"/>
      <c r="P137" s="3"/>
      <c r="Q137" s="3"/>
      <c r="R137" s="3"/>
      <c r="S137" s="3"/>
      <c r="T137" s="3"/>
      <c r="U137" s="3"/>
      <c r="V137" s="3"/>
      <c r="W137" s="3"/>
      <c r="X137" s="3"/>
      <c r="Y137" s="3"/>
      <c r="Z137" s="3"/>
    </row>
    <row r="138" ht="15.75" customHeight="1">
      <c r="A138" s="6"/>
      <c r="B138" s="6"/>
      <c r="C138" s="7"/>
      <c r="D138" s="6"/>
      <c r="E138" s="6"/>
      <c r="F138" s="7"/>
      <c r="G138" s="64"/>
      <c r="H138" s="6"/>
      <c r="I138" s="6"/>
      <c r="J138" s="6"/>
      <c r="K138" s="3"/>
      <c r="L138" s="3"/>
      <c r="M138" s="3"/>
      <c r="N138" s="3"/>
      <c r="O138" s="3"/>
      <c r="P138" s="3"/>
      <c r="Q138" s="3"/>
      <c r="R138" s="3"/>
      <c r="S138" s="3"/>
      <c r="T138" s="3"/>
      <c r="U138" s="3"/>
      <c r="V138" s="3"/>
      <c r="W138" s="3"/>
      <c r="X138" s="3"/>
      <c r="Y138" s="3"/>
      <c r="Z138" s="3"/>
    </row>
    <row r="139" ht="15.75" customHeight="1">
      <c r="A139" s="6"/>
      <c r="B139" s="6"/>
      <c r="C139" s="7"/>
      <c r="D139" s="6"/>
      <c r="E139" s="6"/>
      <c r="F139" s="7"/>
      <c r="G139" s="64"/>
      <c r="H139" s="6"/>
      <c r="I139" s="6"/>
      <c r="J139" s="6"/>
      <c r="K139" s="3"/>
      <c r="L139" s="3"/>
      <c r="M139" s="3"/>
      <c r="N139" s="3"/>
      <c r="O139" s="3"/>
      <c r="P139" s="3"/>
      <c r="Q139" s="3"/>
      <c r="R139" s="3"/>
      <c r="S139" s="3"/>
      <c r="T139" s="3"/>
      <c r="U139" s="3"/>
      <c r="V139" s="3"/>
      <c r="W139" s="3"/>
      <c r="X139" s="3"/>
      <c r="Y139" s="3"/>
      <c r="Z139" s="3"/>
    </row>
    <row r="140" ht="15.75" customHeight="1">
      <c r="A140" s="6"/>
      <c r="B140" s="6"/>
      <c r="C140" s="7"/>
      <c r="D140" s="6"/>
      <c r="E140" s="6"/>
      <c r="F140" s="7"/>
      <c r="G140" s="64"/>
      <c r="H140" s="6"/>
      <c r="I140" s="6"/>
      <c r="J140" s="6"/>
      <c r="K140" s="3"/>
      <c r="L140" s="3"/>
      <c r="M140" s="3"/>
      <c r="N140" s="3"/>
      <c r="O140" s="3"/>
      <c r="P140" s="3"/>
      <c r="Q140" s="3"/>
      <c r="R140" s="3"/>
      <c r="S140" s="3"/>
      <c r="T140" s="3"/>
      <c r="U140" s="3"/>
      <c r="V140" s="3"/>
      <c r="W140" s="3"/>
      <c r="X140" s="3"/>
      <c r="Y140" s="3"/>
      <c r="Z140" s="3"/>
    </row>
    <row r="141" ht="15.75" customHeight="1">
      <c r="A141" s="6"/>
      <c r="B141" s="6"/>
      <c r="C141" s="7"/>
      <c r="D141" s="6"/>
      <c r="E141" s="6"/>
      <c r="F141" s="7"/>
      <c r="G141" s="64"/>
      <c r="H141" s="6"/>
      <c r="I141" s="6"/>
      <c r="J141" s="6"/>
      <c r="K141" s="3"/>
      <c r="L141" s="3"/>
      <c r="M141" s="3"/>
      <c r="N141" s="3"/>
      <c r="O141" s="3"/>
      <c r="P141" s="3"/>
      <c r="Q141" s="3"/>
      <c r="R141" s="3"/>
      <c r="S141" s="3"/>
      <c r="T141" s="3"/>
      <c r="U141" s="3"/>
      <c r="V141" s="3"/>
      <c r="W141" s="3"/>
      <c r="X141" s="3"/>
      <c r="Y141" s="3"/>
      <c r="Z141" s="3"/>
    </row>
    <row r="142" ht="15.75" customHeight="1">
      <c r="A142" s="6"/>
      <c r="B142" s="6"/>
      <c r="C142" s="7"/>
      <c r="D142" s="6"/>
      <c r="E142" s="6"/>
      <c r="F142" s="7"/>
      <c r="G142" s="64"/>
      <c r="H142" s="6"/>
      <c r="I142" s="6"/>
      <c r="J142" s="6"/>
      <c r="K142" s="3"/>
      <c r="L142" s="3"/>
      <c r="M142" s="3"/>
      <c r="N142" s="3"/>
      <c r="O142" s="3"/>
      <c r="P142" s="3"/>
      <c r="Q142" s="3"/>
      <c r="R142" s="3"/>
      <c r="S142" s="3"/>
      <c r="T142" s="3"/>
      <c r="U142" s="3"/>
      <c r="V142" s="3"/>
      <c r="W142" s="3"/>
      <c r="X142" s="3"/>
      <c r="Y142" s="3"/>
      <c r="Z142" s="3"/>
    </row>
    <row r="143" ht="15.75" customHeight="1">
      <c r="A143" s="6"/>
      <c r="B143" s="6"/>
      <c r="C143" s="7"/>
      <c r="D143" s="6"/>
      <c r="E143" s="6"/>
      <c r="F143" s="7"/>
      <c r="G143" s="64"/>
      <c r="H143" s="6"/>
      <c r="I143" s="6"/>
      <c r="J143" s="6"/>
      <c r="K143" s="3"/>
      <c r="L143" s="3"/>
      <c r="M143" s="3"/>
      <c r="N143" s="3"/>
      <c r="O143" s="3"/>
      <c r="P143" s="3"/>
      <c r="Q143" s="3"/>
      <c r="R143" s="3"/>
      <c r="S143" s="3"/>
      <c r="T143" s="3"/>
      <c r="U143" s="3"/>
      <c r="V143" s="3"/>
      <c r="W143" s="3"/>
      <c r="X143" s="3"/>
      <c r="Y143" s="3"/>
      <c r="Z143" s="3"/>
    </row>
    <row r="144" ht="15.75" customHeight="1">
      <c r="A144" s="6"/>
      <c r="B144" s="6"/>
      <c r="C144" s="7"/>
      <c r="D144" s="6"/>
      <c r="E144" s="6"/>
      <c r="F144" s="7"/>
      <c r="G144" s="64"/>
      <c r="H144" s="6"/>
      <c r="I144" s="6"/>
      <c r="J144" s="6"/>
      <c r="K144" s="3"/>
      <c r="L144" s="3"/>
      <c r="M144" s="3"/>
      <c r="N144" s="3"/>
      <c r="O144" s="3"/>
      <c r="P144" s="3"/>
      <c r="Q144" s="3"/>
      <c r="R144" s="3"/>
      <c r="S144" s="3"/>
      <c r="T144" s="3"/>
      <c r="U144" s="3"/>
      <c r="V144" s="3"/>
      <c r="W144" s="3"/>
      <c r="X144" s="3"/>
      <c r="Y144" s="3"/>
      <c r="Z144" s="3"/>
    </row>
    <row r="145" ht="15.75" customHeight="1">
      <c r="A145" s="6"/>
      <c r="B145" s="6"/>
      <c r="C145" s="7"/>
      <c r="D145" s="6"/>
      <c r="E145" s="6"/>
      <c r="F145" s="7"/>
      <c r="G145" s="64"/>
      <c r="H145" s="6"/>
      <c r="I145" s="6"/>
      <c r="J145" s="6"/>
      <c r="K145" s="3"/>
      <c r="L145" s="3"/>
      <c r="M145" s="3"/>
      <c r="N145" s="3"/>
      <c r="O145" s="3"/>
      <c r="P145" s="3"/>
      <c r="Q145" s="3"/>
      <c r="R145" s="3"/>
      <c r="S145" s="3"/>
      <c r="T145" s="3"/>
      <c r="U145" s="3"/>
      <c r="V145" s="3"/>
      <c r="W145" s="3"/>
      <c r="X145" s="3"/>
      <c r="Y145" s="3"/>
      <c r="Z145" s="3"/>
    </row>
    <row r="146" ht="15.75" customHeight="1">
      <c r="A146" s="6"/>
      <c r="B146" s="6"/>
      <c r="C146" s="7"/>
      <c r="D146" s="6"/>
      <c r="E146" s="6"/>
      <c r="F146" s="7"/>
      <c r="G146" s="64"/>
      <c r="H146" s="6"/>
      <c r="I146" s="6"/>
      <c r="J146" s="6"/>
      <c r="K146" s="3"/>
      <c r="L146" s="3"/>
      <c r="M146" s="3"/>
      <c r="N146" s="3"/>
      <c r="O146" s="3"/>
      <c r="P146" s="3"/>
      <c r="Q146" s="3"/>
      <c r="R146" s="3"/>
      <c r="S146" s="3"/>
      <c r="T146" s="3"/>
      <c r="U146" s="3"/>
      <c r="V146" s="3"/>
      <c r="W146" s="3"/>
      <c r="X146" s="3"/>
      <c r="Y146" s="3"/>
      <c r="Z146" s="3"/>
    </row>
    <row r="147" ht="15.75" customHeight="1">
      <c r="A147" s="6"/>
      <c r="B147" s="6"/>
      <c r="C147" s="7"/>
      <c r="D147" s="6"/>
      <c r="E147" s="6"/>
      <c r="F147" s="7"/>
      <c r="G147" s="64"/>
      <c r="H147" s="6"/>
      <c r="I147" s="6"/>
      <c r="J147" s="6"/>
      <c r="K147" s="3"/>
      <c r="L147" s="3"/>
      <c r="M147" s="3"/>
      <c r="N147" s="3"/>
      <c r="O147" s="3"/>
      <c r="P147" s="3"/>
      <c r="Q147" s="3"/>
      <c r="R147" s="3"/>
      <c r="S147" s="3"/>
      <c r="T147" s="3"/>
      <c r="U147" s="3"/>
      <c r="V147" s="3"/>
      <c r="W147" s="3"/>
      <c r="X147" s="3"/>
      <c r="Y147" s="3"/>
      <c r="Z147" s="3"/>
    </row>
    <row r="148" ht="15.75" customHeight="1">
      <c r="A148" s="6"/>
      <c r="B148" s="6"/>
      <c r="C148" s="7"/>
      <c r="D148" s="6"/>
      <c r="E148" s="6"/>
      <c r="F148" s="7"/>
      <c r="G148" s="64"/>
      <c r="H148" s="6"/>
      <c r="I148" s="6"/>
      <c r="J148" s="6"/>
      <c r="K148" s="3"/>
      <c r="L148" s="3"/>
      <c r="M148" s="3"/>
      <c r="N148" s="3"/>
      <c r="O148" s="3"/>
      <c r="P148" s="3"/>
      <c r="Q148" s="3"/>
      <c r="R148" s="3"/>
      <c r="S148" s="3"/>
      <c r="T148" s="3"/>
      <c r="U148" s="3"/>
      <c r="V148" s="3"/>
      <c r="W148" s="3"/>
      <c r="X148" s="3"/>
      <c r="Y148" s="3"/>
      <c r="Z148" s="3"/>
    </row>
    <row r="149" ht="15.75" customHeight="1">
      <c r="A149" s="6"/>
      <c r="B149" s="6"/>
      <c r="C149" s="7"/>
      <c r="D149" s="6"/>
      <c r="E149" s="6"/>
      <c r="F149" s="7"/>
      <c r="G149" s="64"/>
      <c r="H149" s="6"/>
      <c r="I149" s="6"/>
      <c r="J149" s="6"/>
      <c r="K149" s="3"/>
      <c r="L149" s="3"/>
      <c r="M149" s="3"/>
      <c r="N149" s="3"/>
      <c r="O149" s="3"/>
      <c r="P149" s="3"/>
      <c r="Q149" s="3"/>
      <c r="R149" s="3"/>
      <c r="S149" s="3"/>
      <c r="T149" s="3"/>
      <c r="U149" s="3"/>
      <c r="V149" s="3"/>
      <c r="W149" s="3"/>
      <c r="X149" s="3"/>
      <c r="Y149" s="3"/>
      <c r="Z149" s="3"/>
    </row>
    <row r="150" ht="15.75" customHeight="1">
      <c r="A150" s="6"/>
      <c r="B150" s="6"/>
      <c r="C150" s="7"/>
      <c r="D150" s="6"/>
      <c r="E150" s="6"/>
      <c r="F150" s="7"/>
      <c r="G150" s="64"/>
      <c r="H150" s="6"/>
      <c r="I150" s="6"/>
      <c r="J150" s="6"/>
      <c r="K150" s="3"/>
      <c r="L150" s="3"/>
      <c r="M150" s="3"/>
      <c r="N150" s="3"/>
      <c r="O150" s="3"/>
      <c r="P150" s="3"/>
      <c r="Q150" s="3"/>
      <c r="R150" s="3"/>
      <c r="S150" s="3"/>
      <c r="T150" s="3"/>
      <c r="U150" s="3"/>
      <c r="V150" s="3"/>
      <c r="W150" s="3"/>
      <c r="X150" s="3"/>
      <c r="Y150" s="3"/>
      <c r="Z150" s="3"/>
    </row>
    <row r="151" ht="15.75" customHeight="1">
      <c r="A151" s="6"/>
      <c r="B151" s="6"/>
      <c r="C151" s="7"/>
      <c r="D151" s="6"/>
      <c r="E151" s="6"/>
      <c r="F151" s="7"/>
      <c r="G151" s="64"/>
      <c r="H151" s="6"/>
      <c r="I151" s="6"/>
      <c r="J151" s="6"/>
      <c r="K151" s="3"/>
      <c r="L151" s="3"/>
      <c r="M151" s="3"/>
      <c r="N151" s="3"/>
      <c r="O151" s="3"/>
      <c r="P151" s="3"/>
      <c r="Q151" s="3"/>
      <c r="R151" s="3"/>
      <c r="S151" s="3"/>
      <c r="T151" s="3"/>
      <c r="U151" s="3"/>
      <c r="V151" s="3"/>
      <c r="W151" s="3"/>
      <c r="X151" s="3"/>
      <c r="Y151" s="3"/>
      <c r="Z151" s="3"/>
    </row>
    <row r="152" ht="15.75" customHeight="1">
      <c r="A152" s="6"/>
      <c r="B152" s="6"/>
      <c r="C152" s="7"/>
      <c r="D152" s="6"/>
      <c r="E152" s="6"/>
      <c r="F152" s="7"/>
      <c r="G152" s="64"/>
      <c r="H152" s="6"/>
      <c r="I152" s="6"/>
      <c r="J152" s="6"/>
      <c r="K152" s="3"/>
      <c r="L152" s="3"/>
      <c r="M152" s="3"/>
      <c r="N152" s="3"/>
      <c r="O152" s="3"/>
      <c r="P152" s="3"/>
      <c r="Q152" s="3"/>
      <c r="R152" s="3"/>
      <c r="S152" s="3"/>
      <c r="T152" s="3"/>
      <c r="U152" s="3"/>
      <c r="V152" s="3"/>
      <c r="W152" s="3"/>
      <c r="X152" s="3"/>
      <c r="Y152" s="3"/>
      <c r="Z152" s="3"/>
    </row>
    <row r="153" ht="15.75" customHeight="1">
      <c r="A153" s="6"/>
      <c r="B153" s="6"/>
      <c r="C153" s="7"/>
      <c r="D153" s="6"/>
      <c r="E153" s="6"/>
      <c r="F153" s="7"/>
      <c r="G153" s="64"/>
      <c r="H153" s="6"/>
      <c r="I153" s="6"/>
      <c r="J153" s="6"/>
      <c r="K153" s="3"/>
      <c r="L153" s="3"/>
      <c r="M153" s="3"/>
      <c r="N153" s="3"/>
      <c r="O153" s="3"/>
      <c r="P153" s="3"/>
      <c r="Q153" s="3"/>
      <c r="R153" s="3"/>
      <c r="S153" s="3"/>
      <c r="T153" s="3"/>
      <c r="U153" s="3"/>
      <c r="V153" s="3"/>
      <c r="W153" s="3"/>
      <c r="X153" s="3"/>
      <c r="Y153" s="3"/>
      <c r="Z153" s="3"/>
    </row>
    <row r="154" ht="15.75" customHeight="1">
      <c r="A154" s="6"/>
      <c r="B154" s="6"/>
      <c r="C154" s="7"/>
      <c r="D154" s="6"/>
      <c r="E154" s="6"/>
      <c r="F154" s="7"/>
      <c r="G154" s="64"/>
      <c r="H154" s="6"/>
      <c r="I154" s="6"/>
      <c r="J154" s="6"/>
      <c r="K154" s="3"/>
      <c r="L154" s="3"/>
      <c r="M154" s="3"/>
      <c r="N154" s="3"/>
      <c r="O154" s="3"/>
      <c r="P154" s="3"/>
      <c r="Q154" s="3"/>
      <c r="R154" s="3"/>
      <c r="S154" s="3"/>
      <c r="T154" s="3"/>
      <c r="U154" s="3"/>
      <c r="V154" s="3"/>
      <c r="W154" s="3"/>
      <c r="X154" s="3"/>
      <c r="Y154" s="3"/>
      <c r="Z154" s="3"/>
    </row>
    <row r="155" ht="15.75" customHeight="1">
      <c r="A155" s="6"/>
      <c r="B155" s="6"/>
      <c r="C155" s="7"/>
      <c r="D155" s="6"/>
      <c r="E155" s="6"/>
      <c r="F155" s="7"/>
      <c r="G155" s="64"/>
      <c r="H155" s="6"/>
      <c r="I155" s="6"/>
      <c r="J155" s="6"/>
      <c r="K155" s="3"/>
      <c r="L155" s="3"/>
      <c r="M155" s="3"/>
      <c r="N155" s="3"/>
      <c r="O155" s="3"/>
      <c r="P155" s="3"/>
      <c r="Q155" s="3"/>
      <c r="R155" s="3"/>
      <c r="S155" s="3"/>
      <c r="T155" s="3"/>
      <c r="U155" s="3"/>
      <c r="V155" s="3"/>
      <c r="W155" s="3"/>
      <c r="X155" s="3"/>
      <c r="Y155" s="3"/>
      <c r="Z155" s="3"/>
    </row>
    <row r="156" ht="15.75" customHeight="1">
      <c r="A156" s="6"/>
      <c r="B156" s="6"/>
      <c r="C156" s="7"/>
      <c r="D156" s="6"/>
      <c r="E156" s="6"/>
      <c r="F156" s="7"/>
      <c r="G156" s="64"/>
      <c r="H156" s="6"/>
      <c r="I156" s="6"/>
      <c r="J156" s="6"/>
      <c r="K156" s="3"/>
      <c r="L156" s="3"/>
      <c r="M156" s="3"/>
      <c r="N156" s="3"/>
      <c r="O156" s="3"/>
      <c r="P156" s="3"/>
      <c r="Q156" s="3"/>
      <c r="R156" s="3"/>
      <c r="S156" s="3"/>
      <c r="T156" s="3"/>
      <c r="U156" s="3"/>
      <c r="V156" s="3"/>
      <c r="W156" s="3"/>
      <c r="X156" s="3"/>
      <c r="Y156" s="3"/>
      <c r="Z156" s="3"/>
    </row>
    <row r="157" ht="15.75" customHeight="1">
      <c r="A157" s="6"/>
      <c r="B157" s="6"/>
      <c r="C157" s="7"/>
      <c r="D157" s="6"/>
      <c r="E157" s="6"/>
      <c r="F157" s="7"/>
      <c r="G157" s="64"/>
      <c r="H157" s="6"/>
      <c r="I157" s="6"/>
      <c r="J157" s="6"/>
      <c r="K157" s="3"/>
      <c r="L157" s="3"/>
      <c r="M157" s="3"/>
      <c r="N157" s="3"/>
      <c r="O157" s="3"/>
      <c r="P157" s="3"/>
      <c r="Q157" s="3"/>
      <c r="R157" s="3"/>
      <c r="S157" s="3"/>
      <c r="T157" s="3"/>
      <c r="U157" s="3"/>
      <c r="V157" s="3"/>
      <c r="W157" s="3"/>
      <c r="X157" s="3"/>
      <c r="Y157" s="3"/>
      <c r="Z157" s="3"/>
    </row>
    <row r="158" ht="15.75" customHeight="1">
      <c r="A158" s="6"/>
      <c r="B158" s="6"/>
      <c r="C158" s="7"/>
      <c r="D158" s="6"/>
      <c r="E158" s="6"/>
      <c r="F158" s="7"/>
      <c r="G158" s="64"/>
      <c r="H158" s="6"/>
      <c r="I158" s="6"/>
      <c r="J158" s="6"/>
      <c r="K158" s="3"/>
      <c r="L158" s="3"/>
      <c r="M158" s="3"/>
      <c r="N158" s="3"/>
      <c r="O158" s="3"/>
      <c r="P158" s="3"/>
      <c r="Q158" s="3"/>
      <c r="R158" s="3"/>
      <c r="S158" s="3"/>
      <c r="T158" s="3"/>
      <c r="U158" s="3"/>
      <c r="V158" s="3"/>
      <c r="W158" s="3"/>
      <c r="X158" s="3"/>
      <c r="Y158" s="3"/>
      <c r="Z158" s="3"/>
    </row>
    <row r="159" ht="15.75" customHeight="1">
      <c r="A159" s="6"/>
      <c r="B159" s="6"/>
      <c r="C159" s="7"/>
      <c r="D159" s="6"/>
      <c r="E159" s="6"/>
      <c r="F159" s="7"/>
      <c r="G159" s="64"/>
      <c r="H159" s="6"/>
      <c r="I159" s="6"/>
      <c r="J159" s="6"/>
      <c r="K159" s="3"/>
      <c r="L159" s="3"/>
      <c r="M159" s="3"/>
      <c r="N159" s="3"/>
      <c r="O159" s="3"/>
      <c r="P159" s="3"/>
      <c r="Q159" s="3"/>
      <c r="R159" s="3"/>
      <c r="S159" s="3"/>
      <c r="T159" s="3"/>
      <c r="U159" s="3"/>
      <c r="V159" s="3"/>
      <c r="W159" s="3"/>
      <c r="X159" s="3"/>
      <c r="Y159" s="3"/>
      <c r="Z159" s="3"/>
    </row>
    <row r="160" ht="15.75" customHeight="1">
      <c r="A160" s="6"/>
      <c r="B160" s="6"/>
      <c r="C160" s="7"/>
      <c r="D160" s="6"/>
      <c r="E160" s="6"/>
      <c r="F160" s="7"/>
      <c r="G160" s="64"/>
      <c r="H160" s="6"/>
      <c r="I160" s="6"/>
      <c r="J160" s="6"/>
      <c r="K160" s="3"/>
      <c r="L160" s="3"/>
      <c r="M160" s="3"/>
      <c r="N160" s="3"/>
      <c r="O160" s="3"/>
      <c r="P160" s="3"/>
      <c r="Q160" s="3"/>
      <c r="R160" s="3"/>
      <c r="S160" s="3"/>
      <c r="T160" s="3"/>
      <c r="U160" s="3"/>
      <c r="V160" s="3"/>
      <c r="W160" s="3"/>
      <c r="X160" s="3"/>
      <c r="Y160" s="3"/>
      <c r="Z160" s="3"/>
    </row>
    <row r="161" ht="15.75" customHeight="1">
      <c r="A161" s="6"/>
      <c r="B161" s="6"/>
      <c r="C161" s="7"/>
      <c r="D161" s="6"/>
      <c r="E161" s="6"/>
      <c r="F161" s="7"/>
      <c r="G161" s="64"/>
      <c r="H161" s="6"/>
      <c r="I161" s="6"/>
      <c r="J161" s="6"/>
      <c r="K161" s="3"/>
      <c r="L161" s="3"/>
      <c r="M161" s="3"/>
      <c r="N161" s="3"/>
      <c r="O161" s="3"/>
      <c r="P161" s="3"/>
      <c r="Q161" s="3"/>
      <c r="R161" s="3"/>
      <c r="S161" s="3"/>
      <c r="T161" s="3"/>
      <c r="U161" s="3"/>
      <c r="V161" s="3"/>
      <c r="W161" s="3"/>
      <c r="X161" s="3"/>
      <c r="Y161" s="3"/>
      <c r="Z161" s="3"/>
    </row>
    <row r="162" ht="15.75" customHeight="1">
      <c r="A162" s="6"/>
      <c r="B162" s="6"/>
      <c r="C162" s="7"/>
      <c r="D162" s="6"/>
      <c r="E162" s="6"/>
      <c r="F162" s="7"/>
      <c r="G162" s="64"/>
      <c r="H162" s="6"/>
      <c r="I162" s="6"/>
      <c r="J162" s="6"/>
      <c r="K162" s="3"/>
      <c r="L162" s="3"/>
      <c r="M162" s="3"/>
      <c r="N162" s="3"/>
      <c r="O162" s="3"/>
      <c r="P162" s="3"/>
      <c r="Q162" s="3"/>
      <c r="R162" s="3"/>
      <c r="S162" s="3"/>
      <c r="T162" s="3"/>
      <c r="U162" s="3"/>
      <c r="V162" s="3"/>
      <c r="W162" s="3"/>
      <c r="X162" s="3"/>
      <c r="Y162" s="3"/>
      <c r="Z162" s="3"/>
    </row>
    <row r="163" ht="15.75" customHeight="1">
      <c r="A163" s="6"/>
      <c r="B163" s="6"/>
      <c r="C163" s="7"/>
      <c r="D163" s="6"/>
      <c r="E163" s="6"/>
      <c r="F163" s="7"/>
      <c r="G163" s="64"/>
      <c r="H163" s="6"/>
      <c r="I163" s="6"/>
      <c r="J163" s="6"/>
      <c r="K163" s="3"/>
      <c r="L163" s="3"/>
      <c r="M163" s="3"/>
      <c r="N163" s="3"/>
      <c r="O163" s="3"/>
      <c r="P163" s="3"/>
      <c r="Q163" s="3"/>
      <c r="R163" s="3"/>
      <c r="S163" s="3"/>
      <c r="T163" s="3"/>
      <c r="U163" s="3"/>
      <c r="V163" s="3"/>
      <c r="W163" s="3"/>
      <c r="X163" s="3"/>
      <c r="Y163" s="3"/>
      <c r="Z163" s="3"/>
    </row>
    <row r="164" ht="15.75" customHeight="1">
      <c r="A164" s="6"/>
      <c r="B164" s="6"/>
      <c r="C164" s="7"/>
      <c r="D164" s="6"/>
      <c r="E164" s="6"/>
      <c r="F164" s="7"/>
      <c r="G164" s="64"/>
      <c r="H164" s="6"/>
      <c r="I164" s="6"/>
      <c r="J164" s="6"/>
      <c r="K164" s="3"/>
      <c r="L164" s="3"/>
      <c r="M164" s="3"/>
      <c r="N164" s="3"/>
      <c r="O164" s="3"/>
      <c r="P164" s="3"/>
      <c r="Q164" s="3"/>
      <c r="R164" s="3"/>
      <c r="S164" s="3"/>
      <c r="T164" s="3"/>
      <c r="U164" s="3"/>
      <c r="V164" s="3"/>
      <c r="W164" s="3"/>
      <c r="X164" s="3"/>
      <c r="Y164" s="3"/>
      <c r="Z164" s="3"/>
    </row>
    <row r="165" ht="15.75" customHeight="1">
      <c r="A165" s="6"/>
      <c r="B165" s="6"/>
      <c r="C165" s="7"/>
      <c r="D165" s="6"/>
      <c r="E165" s="6"/>
      <c r="F165" s="7"/>
      <c r="G165" s="64"/>
      <c r="H165" s="6"/>
      <c r="I165" s="6"/>
      <c r="J165" s="6"/>
      <c r="K165" s="3"/>
      <c r="L165" s="3"/>
      <c r="M165" s="3"/>
      <c r="N165" s="3"/>
      <c r="O165" s="3"/>
      <c r="P165" s="3"/>
      <c r="Q165" s="3"/>
      <c r="R165" s="3"/>
      <c r="S165" s="3"/>
      <c r="T165" s="3"/>
      <c r="U165" s="3"/>
      <c r="V165" s="3"/>
      <c r="W165" s="3"/>
      <c r="X165" s="3"/>
      <c r="Y165" s="3"/>
      <c r="Z165" s="3"/>
    </row>
    <row r="166" ht="15.75" customHeight="1">
      <c r="A166" s="6"/>
      <c r="B166" s="6"/>
      <c r="C166" s="7"/>
      <c r="D166" s="6"/>
      <c r="E166" s="6"/>
      <c r="F166" s="7"/>
      <c r="G166" s="64"/>
      <c r="H166" s="6"/>
      <c r="I166" s="6"/>
      <c r="J166" s="6"/>
      <c r="K166" s="3"/>
      <c r="L166" s="3"/>
      <c r="M166" s="3"/>
      <c r="N166" s="3"/>
      <c r="O166" s="3"/>
      <c r="P166" s="3"/>
      <c r="Q166" s="3"/>
      <c r="R166" s="3"/>
      <c r="S166" s="3"/>
      <c r="T166" s="3"/>
      <c r="U166" s="3"/>
      <c r="V166" s="3"/>
      <c r="W166" s="3"/>
      <c r="X166" s="3"/>
      <c r="Y166" s="3"/>
      <c r="Z166" s="3"/>
    </row>
    <row r="167" ht="15.75" customHeight="1">
      <c r="A167" s="6"/>
      <c r="B167" s="6"/>
      <c r="C167" s="7"/>
      <c r="D167" s="6"/>
      <c r="E167" s="6"/>
      <c r="F167" s="7"/>
      <c r="G167" s="64"/>
      <c r="H167" s="6"/>
      <c r="I167" s="6"/>
      <c r="J167" s="6"/>
      <c r="K167" s="3"/>
      <c r="L167" s="3"/>
      <c r="M167" s="3"/>
      <c r="N167" s="3"/>
      <c r="O167" s="3"/>
      <c r="P167" s="3"/>
      <c r="Q167" s="3"/>
      <c r="R167" s="3"/>
      <c r="S167" s="3"/>
      <c r="T167" s="3"/>
      <c r="U167" s="3"/>
      <c r="V167" s="3"/>
      <c r="W167" s="3"/>
      <c r="X167" s="3"/>
      <c r="Y167" s="3"/>
      <c r="Z167" s="3"/>
    </row>
    <row r="168" ht="15.75" customHeight="1">
      <c r="A168" s="6"/>
      <c r="B168" s="6"/>
      <c r="C168" s="7"/>
      <c r="D168" s="6"/>
      <c r="E168" s="6"/>
      <c r="F168" s="7"/>
      <c r="G168" s="64"/>
      <c r="H168" s="6"/>
      <c r="I168" s="6"/>
      <c r="J168" s="6"/>
      <c r="K168" s="3"/>
      <c r="L168" s="3"/>
      <c r="M168" s="3"/>
      <c r="N168" s="3"/>
      <c r="O168" s="3"/>
      <c r="P168" s="3"/>
      <c r="Q168" s="3"/>
      <c r="R168" s="3"/>
      <c r="S168" s="3"/>
      <c r="T168" s="3"/>
      <c r="U168" s="3"/>
      <c r="V168" s="3"/>
      <c r="W168" s="3"/>
      <c r="X168" s="3"/>
      <c r="Y168" s="3"/>
      <c r="Z168" s="3"/>
    </row>
    <row r="169" ht="15.75" customHeight="1">
      <c r="A169" s="6"/>
      <c r="B169" s="6"/>
      <c r="C169" s="7"/>
      <c r="D169" s="6"/>
      <c r="E169" s="6"/>
      <c r="F169" s="7"/>
      <c r="G169" s="64"/>
      <c r="H169" s="6"/>
      <c r="I169" s="6"/>
      <c r="J169" s="6"/>
      <c r="K169" s="3"/>
      <c r="L169" s="3"/>
      <c r="M169" s="3"/>
      <c r="N169" s="3"/>
      <c r="O169" s="3"/>
      <c r="P169" s="3"/>
      <c r="Q169" s="3"/>
      <c r="R169" s="3"/>
      <c r="S169" s="3"/>
      <c r="T169" s="3"/>
      <c r="U169" s="3"/>
      <c r="V169" s="3"/>
      <c r="W169" s="3"/>
      <c r="X169" s="3"/>
      <c r="Y169" s="3"/>
      <c r="Z169" s="3"/>
    </row>
    <row r="170" ht="15.75" customHeight="1">
      <c r="A170" s="6"/>
      <c r="B170" s="6"/>
      <c r="C170" s="7"/>
      <c r="D170" s="6"/>
      <c r="E170" s="6"/>
      <c r="F170" s="7"/>
      <c r="G170" s="64"/>
      <c r="H170" s="6"/>
      <c r="I170" s="6"/>
      <c r="J170" s="6"/>
      <c r="K170" s="3"/>
      <c r="L170" s="3"/>
      <c r="M170" s="3"/>
      <c r="N170" s="3"/>
      <c r="O170" s="3"/>
      <c r="P170" s="3"/>
      <c r="Q170" s="3"/>
      <c r="R170" s="3"/>
      <c r="S170" s="3"/>
      <c r="T170" s="3"/>
      <c r="U170" s="3"/>
      <c r="V170" s="3"/>
      <c r="W170" s="3"/>
      <c r="X170" s="3"/>
      <c r="Y170" s="3"/>
      <c r="Z170" s="3"/>
    </row>
    <row r="171" ht="15.75" customHeight="1">
      <c r="A171" s="6"/>
      <c r="B171" s="6"/>
      <c r="C171" s="7"/>
      <c r="D171" s="6"/>
      <c r="E171" s="6"/>
      <c r="F171" s="7"/>
      <c r="G171" s="64"/>
      <c r="H171" s="6"/>
      <c r="I171" s="6"/>
      <c r="J171" s="6"/>
      <c r="K171" s="3"/>
      <c r="L171" s="3"/>
      <c r="M171" s="3"/>
      <c r="N171" s="3"/>
      <c r="O171" s="3"/>
      <c r="P171" s="3"/>
      <c r="Q171" s="3"/>
      <c r="R171" s="3"/>
      <c r="S171" s="3"/>
      <c r="T171" s="3"/>
      <c r="U171" s="3"/>
      <c r="V171" s="3"/>
      <c r="W171" s="3"/>
      <c r="X171" s="3"/>
      <c r="Y171" s="3"/>
      <c r="Z171" s="3"/>
    </row>
    <row r="172" ht="15.75" customHeight="1">
      <c r="A172" s="6"/>
      <c r="B172" s="6"/>
      <c r="C172" s="7"/>
      <c r="D172" s="6"/>
      <c r="E172" s="6"/>
      <c r="F172" s="7"/>
      <c r="G172" s="64"/>
      <c r="H172" s="6"/>
      <c r="I172" s="6"/>
      <c r="J172" s="6"/>
      <c r="K172" s="3"/>
      <c r="L172" s="3"/>
      <c r="M172" s="3"/>
      <c r="N172" s="3"/>
      <c r="O172" s="3"/>
      <c r="P172" s="3"/>
      <c r="Q172" s="3"/>
      <c r="R172" s="3"/>
      <c r="S172" s="3"/>
      <c r="T172" s="3"/>
      <c r="U172" s="3"/>
      <c r="V172" s="3"/>
      <c r="W172" s="3"/>
      <c r="X172" s="3"/>
      <c r="Y172" s="3"/>
      <c r="Z172" s="3"/>
    </row>
    <row r="173" ht="15.75" customHeight="1">
      <c r="A173" s="6"/>
      <c r="B173" s="6"/>
      <c r="C173" s="7"/>
      <c r="D173" s="6"/>
      <c r="E173" s="6"/>
      <c r="F173" s="7"/>
      <c r="G173" s="64"/>
      <c r="H173" s="6"/>
      <c r="I173" s="6"/>
      <c r="J173" s="6"/>
      <c r="K173" s="3"/>
      <c r="L173" s="3"/>
      <c r="M173" s="3"/>
      <c r="N173" s="3"/>
      <c r="O173" s="3"/>
      <c r="P173" s="3"/>
      <c r="Q173" s="3"/>
      <c r="R173" s="3"/>
      <c r="S173" s="3"/>
      <c r="T173" s="3"/>
      <c r="U173" s="3"/>
      <c r="V173" s="3"/>
      <c r="W173" s="3"/>
      <c r="X173" s="3"/>
      <c r="Y173" s="3"/>
      <c r="Z173" s="3"/>
    </row>
    <row r="174" ht="15.75" customHeight="1">
      <c r="A174" s="6"/>
      <c r="B174" s="6"/>
      <c r="C174" s="7"/>
      <c r="D174" s="6"/>
      <c r="E174" s="6"/>
      <c r="F174" s="7"/>
      <c r="G174" s="64"/>
      <c r="H174" s="6"/>
      <c r="I174" s="6"/>
      <c r="J174" s="6"/>
      <c r="K174" s="3"/>
      <c r="L174" s="3"/>
      <c r="M174" s="3"/>
      <c r="N174" s="3"/>
      <c r="O174" s="3"/>
      <c r="P174" s="3"/>
      <c r="Q174" s="3"/>
      <c r="R174" s="3"/>
      <c r="S174" s="3"/>
      <c r="T174" s="3"/>
      <c r="U174" s="3"/>
      <c r="V174" s="3"/>
      <c r="W174" s="3"/>
      <c r="X174" s="3"/>
      <c r="Y174" s="3"/>
      <c r="Z174" s="3"/>
    </row>
    <row r="175" ht="15.75" customHeight="1">
      <c r="A175" s="6"/>
      <c r="B175" s="6"/>
      <c r="C175" s="7"/>
      <c r="D175" s="6"/>
      <c r="E175" s="6"/>
      <c r="F175" s="7"/>
      <c r="G175" s="64"/>
      <c r="H175" s="6"/>
      <c r="I175" s="6"/>
      <c r="J175" s="6"/>
      <c r="K175" s="3"/>
      <c r="L175" s="3"/>
      <c r="M175" s="3"/>
      <c r="N175" s="3"/>
      <c r="O175" s="3"/>
      <c r="P175" s="3"/>
      <c r="Q175" s="3"/>
      <c r="R175" s="3"/>
      <c r="S175" s="3"/>
      <c r="T175" s="3"/>
      <c r="U175" s="3"/>
      <c r="V175" s="3"/>
      <c r="W175" s="3"/>
      <c r="X175" s="3"/>
      <c r="Y175" s="3"/>
      <c r="Z175" s="3"/>
    </row>
    <row r="176" ht="15.75" customHeight="1">
      <c r="A176" s="6"/>
      <c r="B176" s="6"/>
      <c r="C176" s="7"/>
      <c r="D176" s="6"/>
      <c r="E176" s="6"/>
      <c r="F176" s="7"/>
      <c r="G176" s="64"/>
      <c r="H176" s="6"/>
      <c r="I176" s="6"/>
      <c r="J176" s="6"/>
      <c r="K176" s="3"/>
      <c r="L176" s="3"/>
      <c r="M176" s="3"/>
      <c r="N176" s="3"/>
      <c r="O176" s="3"/>
      <c r="P176" s="3"/>
      <c r="Q176" s="3"/>
      <c r="R176" s="3"/>
      <c r="S176" s="3"/>
      <c r="T176" s="3"/>
      <c r="U176" s="3"/>
      <c r="V176" s="3"/>
      <c r="W176" s="3"/>
      <c r="X176" s="3"/>
      <c r="Y176" s="3"/>
      <c r="Z176" s="3"/>
    </row>
    <row r="177" ht="15.75" customHeight="1">
      <c r="A177" s="6"/>
      <c r="B177" s="6"/>
      <c r="C177" s="7"/>
      <c r="D177" s="6"/>
      <c r="E177" s="6"/>
      <c r="F177" s="7"/>
      <c r="G177" s="64"/>
      <c r="H177" s="6"/>
      <c r="I177" s="6"/>
      <c r="J177" s="6"/>
      <c r="K177" s="3"/>
      <c r="L177" s="3"/>
      <c r="M177" s="3"/>
      <c r="N177" s="3"/>
      <c r="O177" s="3"/>
      <c r="P177" s="3"/>
      <c r="Q177" s="3"/>
      <c r="R177" s="3"/>
      <c r="S177" s="3"/>
      <c r="T177" s="3"/>
      <c r="U177" s="3"/>
      <c r="V177" s="3"/>
      <c r="W177" s="3"/>
      <c r="X177" s="3"/>
      <c r="Y177" s="3"/>
      <c r="Z177" s="3"/>
    </row>
    <row r="178" ht="15.75" customHeight="1">
      <c r="A178" s="6"/>
      <c r="B178" s="6"/>
      <c r="C178" s="7"/>
      <c r="D178" s="6"/>
      <c r="E178" s="6"/>
      <c r="F178" s="7"/>
      <c r="G178" s="64"/>
      <c r="H178" s="6"/>
      <c r="I178" s="6"/>
      <c r="J178" s="6"/>
      <c r="K178" s="3"/>
      <c r="L178" s="3"/>
      <c r="M178" s="3"/>
      <c r="N178" s="3"/>
      <c r="O178" s="3"/>
      <c r="P178" s="3"/>
      <c r="Q178" s="3"/>
      <c r="R178" s="3"/>
      <c r="S178" s="3"/>
      <c r="T178" s="3"/>
      <c r="U178" s="3"/>
      <c r="V178" s="3"/>
      <c r="W178" s="3"/>
      <c r="X178" s="3"/>
      <c r="Y178" s="3"/>
      <c r="Z178" s="3"/>
    </row>
    <row r="179" ht="15.75" customHeight="1">
      <c r="A179" s="6"/>
      <c r="B179" s="6"/>
      <c r="C179" s="7"/>
      <c r="D179" s="6"/>
      <c r="E179" s="6"/>
      <c r="F179" s="7"/>
      <c r="G179" s="64"/>
      <c r="H179" s="6"/>
      <c r="I179" s="6"/>
      <c r="J179" s="6"/>
      <c r="K179" s="3"/>
      <c r="L179" s="3"/>
      <c r="M179" s="3"/>
      <c r="N179" s="3"/>
      <c r="O179" s="3"/>
      <c r="P179" s="3"/>
      <c r="Q179" s="3"/>
      <c r="R179" s="3"/>
      <c r="S179" s="3"/>
      <c r="T179" s="3"/>
      <c r="U179" s="3"/>
      <c r="V179" s="3"/>
      <c r="W179" s="3"/>
      <c r="X179" s="3"/>
      <c r="Y179" s="3"/>
      <c r="Z179" s="3"/>
    </row>
    <row r="180" ht="15.75" customHeight="1">
      <c r="A180" s="6"/>
      <c r="B180" s="6"/>
      <c r="C180" s="7"/>
      <c r="D180" s="6"/>
      <c r="E180" s="6"/>
      <c r="F180" s="7"/>
      <c r="G180" s="64"/>
      <c r="H180" s="6"/>
      <c r="I180" s="6"/>
      <c r="J180" s="6"/>
      <c r="K180" s="3"/>
      <c r="L180" s="3"/>
      <c r="M180" s="3"/>
      <c r="N180" s="3"/>
      <c r="O180" s="3"/>
      <c r="P180" s="3"/>
      <c r="Q180" s="3"/>
      <c r="R180" s="3"/>
      <c r="S180" s="3"/>
      <c r="T180" s="3"/>
      <c r="U180" s="3"/>
      <c r="V180" s="3"/>
      <c r="W180" s="3"/>
      <c r="X180" s="3"/>
      <c r="Y180" s="3"/>
      <c r="Z180" s="3"/>
    </row>
    <row r="181" ht="15.75" customHeight="1">
      <c r="A181" s="6"/>
      <c r="B181" s="6"/>
      <c r="C181" s="7"/>
      <c r="D181" s="6"/>
      <c r="E181" s="6"/>
      <c r="F181" s="7"/>
      <c r="G181" s="64"/>
      <c r="H181" s="6"/>
      <c r="I181" s="6"/>
      <c r="J181" s="6"/>
      <c r="K181" s="3"/>
      <c r="L181" s="3"/>
      <c r="M181" s="3"/>
      <c r="N181" s="3"/>
      <c r="O181" s="3"/>
      <c r="P181" s="3"/>
      <c r="Q181" s="3"/>
      <c r="R181" s="3"/>
      <c r="S181" s="3"/>
      <c r="T181" s="3"/>
      <c r="U181" s="3"/>
      <c r="V181" s="3"/>
      <c r="W181" s="3"/>
      <c r="X181" s="3"/>
      <c r="Y181" s="3"/>
      <c r="Z181" s="3"/>
    </row>
    <row r="182" ht="15.75" customHeight="1">
      <c r="A182" s="6"/>
      <c r="B182" s="6"/>
      <c r="C182" s="7"/>
      <c r="D182" s="6"/>
      <c r="E182" s="6"/>
      <c r="F182" s="7"/>
      <c r="G182" s="64"/>
      <c r="H182" s="6"/>
      <c r="I182" s="3"/>
      <c r="J182" s="3"/>
      <c r="K182" s="3"/>
      <c r="L182" s="3"/>
      <c r="M182" s="3"/>
      <c r="N182" s="3"/>
      <c r="O182" s="3"/>
      <c r="P182" s="3"/>
      <c r="Q182" s="3"/>
      <c r="R182" s="3"/>
      <c r="S182" s="3"/>
      <c r="T182" s="3"/>
      <c r="U182" s="3"/>
      <c r="V182" s="3"/>
      <c r="W182" s="3"/>
      <c r="X182" s="3"/>
      <c r="Y182" s="3"/>
      <c r="Z182" s="3"/>
    </row>
    <row r="183" ht="15.75" customHeight="1">
      <c r="A183" s="6"/>
      <c r="B183" s="6"/>
      <c r="C183" s="7"/>
      <c r="D183" s="6"/>
      <c r="E183" s="6"/>
      <c r="F183" s="7"/>
      <c r="G183" s="64"/>
      <c r="H183" s="6"/>
      <c r="I183" s="3"/>
      <c r="J183" s="3"/>
      <c r="K183" s="3"/>
      <c r="L183" s="3"/>
      <c r="M183" s="3"/>
      <c r="N183" s="3"/>
      <c r="O183" s="3"/>
      <c r="P183" s="3"/>
      <c r="Q183" s="3"/>
      <c r="R183" s="3"/>
      <c r="S183" s="3"/>
      <c r="T183" s="3"/>
      <c r="U183" s="3"/>
      <c r="V183" s="3"/>
      <c r="W183" s="3"/>
      <c r="X183" s="3"/>
      <c r="Y183" s="3"/>
      <c r="Z183" s="3"/>
    </row>
    <row r="184" ht="15.75" customHeight="1">
      <c r="A184" s="6"/>
      <c r="B184" s="6"/>
      <c r="C184" s="7"/>
      <c r="D184" s="6"/>
      <c r="E184" s="6"/>
      <c r="F184" s="7"/>
      <c r="G184" s="64"/>
      <c r="H184" s="6"/>
      <c r="I184" s="3"/>
      <c r="J184" s="3"/>
      <c r="K184" s="3"/>
      <c r="L184" s="3"/>
      <c r="M184" s="3"/>
      <c r="N184" s="3"/>
      <c r="O184" s="3"/>
      <c r="P184" s="3"/>
      <c r="Q184" s="3"/>
      <c r="R184" s="3"/>
      <c r="S184" s="3"/>
      <c r="T184" s="3"/>
      <c r="U184" s="3"/>
      <c r="V184" s="3"/>
      <c r="W184" s="3"/>
      <c r="X184" s="3"/>
      <c r="Y184" s="3"/>
      <c r="Z184" s="3"/>
    </row>
    <row r="185" ht="15.75" customHeight="1">
      <c r="A185" s="6"/>
      <c r="B185" s="6"/>
      <c r="C185" s="7"/>
      <c r="D185" s="6"/>
      <c r="E185" s="6"/>
      <c r="F185" s="7"/>
      <c r="G185" s="64"/>
      <c r="H185" s="6"/>
      <c r="I185" s="3"/>
      <c r="J185" s="3"/>
      <c r="K185" s="3"/>
      <c r="L185" s="3"/>
      <c r="M185" s="3"/>
      <c r="N185" s="3"/>
      <c r="O185" s="3"/>
      <c r="P185" s="3"/>
      <c r="Q185" s="3"/>
      <c r="R185" s="3"/>
      <c r="S185" s="3"/>
      <c r="T185" s="3"/>
      <c r="U185" s="3"/>
      <c r="V185" s="3"/>
      <c r="W185" s="3"/>
      <c r="X185" s="3"/>
      <c r="Y185" s="3"/>
      <c r="Z185" s="3"/>
    </row>
    <row r="186" ht="15.75" customHeight="1">
      <c r="A186" s="6"/>
      <c r="B186" s="6"/>
      <c r="C186" s="7"/>
      <c r="D186" s="6"/>
      <c r="E186" s="6"/>
      <c r="F186" s="7"/>
      <c r="G186" s="64"/>
      <c r="H186" s="6"/>
      <c r="I186" s="3"/>
      <c r="J186" s="3"/>
      <c r="K186" s="3"/>
      <c r="L186" s="3"/>
      <c r="M186" s="3"/>
      <c r="N186" s="3"/>
      <c r="O186" s="3"/>
      <c r="P186" s="3"/>
      <c r="Q186" s="3"/>
      <c r="R186" s="3"/>
      <c r="S186" s="3"/>
      <c r="T186" s="3"/>
      <c r="U186" s="3"/>
      <c r="V186" s="3"/>
      <c r="W186" s="3"/>
      <c r="X186" s="3"/>
      <c r="Y186" s="3"/>
      <c r="Z186" s="3"/>
    </row>
    <row r="187" ht="15.75" customHeight="1">
      <c r="A187" s="6"/>
      <c r="B187" s="6"/>
      <c r="C187" s="7"/>
      <c r="D187" s="6"/>
      <c r="E187" s="6"/>
      <c r="F187" s="7"/>
      <c r="G187" s="64"/>
      <c r="H187" s="6"/>
      <c r="I187" s="3"/>
      <c r="J187" s="3"/>
      <c r="K187" s="3"/>
      <c r="L187" s="3"/>
      <c r="M187" s="3"/>
      <c r="N187" s="3"/>
      <c r="O187" s="3"/>
      <c r="P187" s="3"/>
      <c r="Q187" s="3"/>
      <c r="R187" s="3"/>
      <c r="S187" s="3"/>
      <c r="T187" s="3"/>
      <c r="U187" s="3"/>
      <c r="V187" s="3"/>
      <c r="W187" s="3"/>
      <c r="X187" s="3"/>
      <c r="Y187" s="3"/>
      <c r="Z187" s="3"/>
    </row>
    <row r="188" ht="15.75" customHeight="1">
      <c r="A188" s="6"/>
      <c r="B188" s="6"/>
      <c r="C188" s="7"/>
      <c r="D188" s="6"/>
      <c r="E188" s="6"/>
      <c r="F188" s="7"/>
      <c r="G188" s="64"/>
      <c r="H188" s="6"/>
      <c r="I188" s="3"/>
      <c r="J188" s="3"/>
      <c r="K188" s="3"/>
      <c r="L188" s="3"/>
      <c r="M188" s="3"/>
      <c r="N188" s="3"/>
      <c r="O188" s="3"/>
      <c r="P188" s="3"/>
      <c r="Q188" s="3"/>
      <c r="R188" s="3"/>
      <c r="S188" s="3"/>
      <c r="T188" s="3"/>
      <c r="U188" s="3"/>
      <c r="V188" s="3"/>
      <c r="W188" s="3"/>
      <c r="X188" s="3"/>
      <c r="Y188" s="3"/>
      <c r="Z188" s="3"/>
    </row>
    <row r="189" ht="15.75" customHeight="1">
      <c r="A189" s="6"/>
      <c r="B189" s="6"/>
      <c r="C189" s="7"/>
      <c r="D189" s="6"/>
      <c r="E189" s="6"/>
      <c r="F189" s="7"/>
      <c r="G189" s="64"/>
      <c r="H189" s="6"/>
      <c r="I189" s="3"/>
      <c r="J189" s="3"/>
      <c r="K189" s="3"/>
      <c r="L189" s="3"/>
      <c r="M189" s="3"/>
      <c r="N189" s="3"/>
      <c r="O189" s="3"/>
      <c r="P189" s="3"/>
      <c r="Q189" s="3"/>
      <c r="R189" s="3"/>
      <c r="S189" s="3"/>
      <c r="T189" s="3"/>
      <c r="U189" s="3"/>
      <c r="V189" s="3"/>
      <c r="W189" s="3"/>
      <c r="X189" s="3"/>
      <c r="Y189" s="3"/>
      <c r="Z189" s="3"/>
    </row>
    <row r="190" ht="15.75" customHeight="1">
      <c r="A190" s="6"/>
      <c r="B190" s="6"/>
      <c r="C190" s="7"/>
      <c r="D190" s="6"/>
      <c r="E190" s="6"/>
      <c r="F190" s="7"/>
      <c r="G190" s="64"/>
      <c r="H190" s="6"/>
      <c r="I190" s="3"/>
      <c r="J190" s="3"/>
      <c r="K190" s="3"/>
      <c r="L190" s="3"/>
      <c r="M190" s="3"/>
      <c r="N190" s="3"/>
      <c r="O190" s="3"/>
      <c r="P190" s="3"/>
      <c r="Q190" s="3"/>
      <c r="R190" s="3"/>
      <c r="S190" s="3"/>
      <c r="T190" s="3"/>
      <c r="U190" s="3"/>
      <c r="V190" s="3"/>
      <c r="W190" s="3"/>
      <c r="X190" s="3"/>
      <c r="Y190" s="3"/>
      <c r="Z190" s="3"/>
    </row>
    <row r="191" ht="15.75" customHeight="1">
      <c r="A191" s="6"/>
      <c r="B191" s="6"/>
      <c r="C191" s="7"/>
      <c r="D191" s="6"/>
      <c r="E191" s="6"/>
      <c r="F191" s="7"/>
      <c r="G191" s="64"/>
      <c r="H191" s="6"/>
      <c r="I191" s="3"/>
      <c r="J191" s="3"/>
      <c r="K191" s="3"/>
      <c r="L191" s="3"/>
      <c r="M191" s="3"/>
      <c r="N191" s="3"/>
      <c r="O191" s="3"/>
      <c r="P191" s="3"/>
      <c r="Q191" s="3"/>
      <c r="R191" s="3"/>
      <c r="S191" s="3"/>
      <c r="T191" s="3"/>
      <c r="U191" s="3"/>
      <c r="V191" s="3"/>
      <c r="W191" s="3"/>
      <c r="X191" s="3"/>
      <c r="Y191" s="3"/>
      <c r="Z191" s="3"/>
    </row>
    <row r="192" ht="15.75" customHeight="1">
      <c r="A192" s="6"/>
      <c r="B192" s="6"/>
      <c r="C192" s="7"/>
      <c r="D192" s="6"/>
      <c r="E192" s="6"/>
      <c r="F192" s="7"/>
      <c r="G192" s="64"/>
      <c r="H192" s="6"/>
      <c r="I192" s="3"/>
      <c r="J192" s="3"/>
      <c r="K192" s="3"/>
      <c r="L192" s="3"/>
      <c r="M192" s="3"/>
      <c r="N192" s="3"/>
      <c r="O192" s="3"/>
      <c r="P192" s="3"/>
      <c r="Q192" s="3"/>
      <c r="R192" s="3"/>
      <c r="S192" s="3"/>
      <c r="T192" s="3"/>
      <c r="U192" s="3"/>
      <c r="V192" s="3"/>
      <c r="W192" s="3"/>
      <c r="X192" s="3"/>
      <c r="Y192" s="3"/>
      <c r="Z192" s="3"/>
    </row>
    <row r="193" ht="15.75" customHeight="1">
      <c r="A193" s="6"/>
      <c r="B193" s="6"/>
      <c r="C193" s="7"/>
      <c r="D193" s="6"/>
      <c r="E193" s="6"/>
      <c r="F193" s="7"/>
      <c r="G193" s="64"/>
      <c r="H193" s="6"/>
      <c r="I193" s="3"/>
      <c r="J193" s="3"/>
      <c r="K193" s="3"/>
      <c r="L193" s="3"/>
      <c r="M193" s="3"/>
      <c r="N193" s="3"/>
      <c r="O193" s="3"/>
      <c r="P193" s="3"/>
      <c r="Q193" s="3"/>
      <c r="R193" s="3"/>
      <c r="S193" s="3"/>
      <c r="T193" s="3"/>
      <c r="U193" s="3"/>
      <c r="V193" s="3"/>
      <c r="W193" s="3"/>
      <c r="X193" s="3"/>
      <c r="Y193" s="3"/>
      <c r="Z193" s="3"/>
    </row>
    <row r="194" ht="15.75" customHeight="1">
      <c r="A194" s="6"/>
      <c r="B194" s="6"/>
      <c r="C194" s="7"/>
      <c r="D194" s="6"/>
      <c r="E194" s="6"/>
      <c r="F194" s="7"/>
      <c r="G194" s="64"/>
      <c r="H194" s="6"/>
      <c r="I194" s="3"/>
      <c r="J194" s="3"/>
      <c r="K194" s="3"/>
      <c r="L194" s="3"/>
      <c r="M194" s="3"/>
      <c r="N194" s="3"/>
      <c r="O194" s="3"/>
      <c r="P194" s="3"/>
      <c r="Q194" s="3"/>
      <c r="R194" s="3"/>
      <c r="S194" s="3"/>
      <c r="T194" s="3"/>
      <c r="U194" s="3"/>
      <c r="V194" s="3"/>
      <c r="W194" s="3"/>
      <c r="X194" s="3"/>
      <c r="Y194" s="3"/>
      <c r="Z194" s="3"/>
    </row>
    <row r="195" ht="15.75" customHeight="1">
      <c r="A195" s="6"/>
      <c r="B195" s="6"/>
      <c r="C195" s="7"/>
      <c r="D195" s="6"/>
      <c r="E195" s="6"/>
      <c r="F195" s="7"/>
      <c r="G195" s="64"/>
      <c r="H195" s="6"/>
      <c r="I195" s="3"/>
      <c r="J195" s="3"/>
      <c r="K195" s="3"/>
      <c r="L195" s="3"/>
      <c r="M195" s="3"/>
      <c r="N195" s="3"/>
      <c r="O195" s="3"/>
      <c r="P195" s="3"/>
      <c r="Q195" s="3"/>
      <c r="R195" s="3"/>
      <c r="S195" s="3"/>
      <c r="T195" s="3"/>
      <c r="U195" s="3"/>
      <c r="V195" s="3"/>
      <c r="W195" s="3"/>
      <c r="X195" s="3"/>
      <c r="Y195" s="3"/>
      <c r="Z195" s="3"/>
    </row>
    <row r="196" ht="15.75" customHeight="1">
      <c r="A196" s="6"/>
      <c r="B196" s="6"/>
      <c r="C196" s="7"/>
      <c r="D196" s="6"/>
      <c r="E196" s="6"/>
      <c r="F196" s="7"/>
      <c r="G196" s="64"/>
      <c r="H196" s="6"/>
      <c r="I196" s="3"/>
      <c r="J196" s="3"/>
      <c r="K196" s="3"/>
      <c r="L196" s="3"/>
      <c r="M196" s="3"/>
      <c r="N196" s="3"/>
      <c r="O196" s="3"/>
      <c r="P196" s="3"/>
      <c r="Q196" s="3"/>
      <c r="R196" s="3"/>
      <c r="S196" s="3"/>
      <c r="T196" s="3"/>
      <c r="U196" s="3"/>
      <c r="V196" s="3"/>
      <c r="W196" s="3"/>
      <c r="X196" s="3"/>
      <c r="Y196" s="3"/>
      <c r="Z196" s="3"/>
    </row>
    <row r="197" ht="15.75" customHeight="1">
      <c r="A197" s="6"/>
      <c r="B197" s="6"/>
      <c r="C197" s="7"/>
      <c r="D197" s="6"/>
      <c r="E197" s="6"/>
      <c r="F197" s="7"/>
      <c r="G197" s="64"/>
      <c r="H197" s="6"/>
      <c r="I197" s="3"/>
      <c r="J197" s="3"/>
      <c r="K197" s="3"/>
      <c r="L197" s="3"/>
      <c r="M197" s="3"/>
      <c r="N197" s="3"/>
      <c r="O197" s="3"/>
      <c r="P197" s="3"/>
      <c r="Q197" s="3"/>
      <c r="R197" s="3"/>
      <c r="S197" s="3"/>
      <c r="T197" s="3"/>
      <c r="U197" s="3"/>
      <c r="V197" s="3"/>
      <c r="W197" s="3"/>
      <c r="X197" s="3"/>
      <c r="Y197" s="3"/>
      <c r="Z197" s="3"/>
    </row>
    <row r="198" ht="15.75" customHeight="1">
      <c r="A198" s="6"/>
      <c r="B198" s="6"/>
      <c r="C198" s="7"/>
      <c r="D198" s="6"/>
      <c r="E198" s="6"/>
      <c r="F198" s="7"/>
      <c r="G198" s="64"/>
      <c r="H198" s="6"/>
      <c r="I198" s="3"/>
      <c r="J198" s="3"/>
      <c r="K198" s="3"/>
      <c r="L198" s="3"/>
      <c r="M198" s="3"/>
      <c r="N198" s="3"/>
      <c r="O198" s="3"/>
      <c r="P198" s="3"/>
      <c r="Q198" s="3"/>
      <c r="R198" s="3"/>
      <c r="S198" s="3"/>
      <c r="T198" s="3"/>
      <c r="U198" s="3"/>
      <c r="V198" s="3"/>
      <c r="W198" s="3"/>
      <c r="X198" s="3"/>
      <c r="Y198" s="3"/>
      <c r="Z198" s="3"/>
    </row>
    <row r="199" ht="15.75" customHeight="1">
      <c r="A199" s="3"/>
      <c r="B199" s="3"/>
      <c r="C199" s="7"/>
      <c r="D199" s="3"/>
      <c r="E199" s="3"/>
      <c r="F199" s="7"/>
      <c r="G199" s="4"/>
      <c r="H199" s="3"/>
      <c r="I199" s="3"/>
      <c r="J199" s="3"/>
      <c r="K199" s="3"/>
      <c r="L199" s="3"/>
      <c r="M199" s="3"/>
      <c r="N199" s="3"/>
      <c r="O199" s="3"/>
      <c r="P199" s="3"/>
      <c r="Q199" s="3"/>
      <c r="R199" s="3"/>
      <c r="S199" s="3"/>
      <c r="T199" s="3"/>
      <c r="U199" s="3"/>
      <c r="V199" s="3"/>
      <c r="W199" s="3"/>
      <c r="X199" s="3"/>
      <c r="Y199" s="3"/>
      <c r="Z199" s="3"/>
    </row>
    <row r="200" ht="15.75" customHeight="1">
      <c r="A200" s="3"/>
      <c r="B200" s="3"/>
      <c r="C200" s="7"/>
      <c r="D200" s="3"/>
      <c r="E200" s="3"/>
      <c r="F200" s="7"/>
      <c r="G200" s="4"/>
      <c r="H200" s="3"/>
      <c r="I200" s="3"/>
      <c r="J200" s="3"/>
      <c r="K200" s="3"/>
      <c r="L200" s="3"/>
      <c r="M200" s="3"/>
      <c r="N200" s="3"/>
      <c r="O200" s="3"/>
      <c r="P200" s="3"/>
      <c r="Q200" s="3"/>
      <c r="R200" s="3"/>
      <c r="S200" s="3"/>
      <c r="T200" s="3"/>
      <c r="U200" s="3"/>
      <c r="V200" s="3"/>
      <c r="W200" s="3"/>
      <c r="X200" s="3"/>
      <c r="Y200" s="3"/>
      <c r="Z200" s="3"/>
    </row>
    <row r="201" ht="15.75" customHeight="1">
      <c r="A201" s="3"/>
      <c r="B201" s="3"/>
      <c r="C201" s="7"/>
      <c r="D201" s="3"/>
      <c r="E201" s="3"/>
      <c r="F201" s="7"/>
      <c r="G201" s="4"/>
      <c r="H201" s="3"/>
      <c r="I201" s="3"/>
      <c r="J201" s="3"/>
      <c r="K201" s="3"/>
      <c r="L201" s="3"/>
      <c r="M201" s="3"/>
      <c r="N201" s="3"/>
      <c r="O201" s="3"/>
      <c r="P201" s="3"/>
      <c r="Q201" s="3"/>
      <c r="R201" s="3"/>
      <c r="S201" s="3"/>
      <c r="T201" s="3"/>
      <c r="U201" s="3"/>
      <c r="V201" s="3"/>
      <c r="W201" s="3"/>
      <c r="X201" s="3"/>
      <c r="Y201" s="3"/>
      <c r="Z201" s="3"/>
    </row>
    <row r="202" ht="15.75" customHeight="1">
      <c r="A202" s="3"/>
      <c r="B202" s="3"/>
      <c r="C202" s="7"/>
      <c r="D202" s="3"/>
      <c r="E202" s="3"/>
      <c r="F202" s="7"/>
      <c r="G202" s="4"/>
      <c r="H202" s="3"/>
      <c r="I202" s="3"/>
      <c r="J202" s="3"/>
      <c r="K202" s="3"/>
      <c r="L202" s="3"/>
      <c r="M202" s="3"/>
      <c r="N202" s="3"/>
      <c r="O202" s="3"/>
      <c r="P202" s="3"/>
      <c r="Q202" s="3"/>
      <c r="R202" s="3"/>
      <c r="S202" s="3"/>
      <c r="T202" s="3"/>
      <c r="U202" s="3"/>
      <c r="V202" s="3"/>
      <c r="W202" s="3"/>
      <c r="X202" s="3"/>
      <c r="Y202" s="3"/>
      <c r="Z202" s="3"/>
    </row>
    <row r="203" ht="15.75" customHeight="1">
      <c r="A203" s="3"/>
      <c r="B203" s="3"/>
      <c r="C203" s="7"/>
      <c r="D203" s="3"/>
      <c r="E203" s="3"/>
      <c r="F203" s="7"/>
      <c r="G203" s="4"/>
      <c r="H203" s="3"/>
      <c r="I203" s="3"/>
      <c r="J203" s="3"/>
      <c r="K203" s="3"/>
      <c r="L203" s="3"/>
      <c r="M203" s="3"/>
      <c r="N203" s="3"/>
      <c r="O203" s="3"/>
      <c r="P203" s="3"/>
      <c r="Q203" s="3"/>
      <c r="R203" s="3"/>
      <c r="S203" s="3"/>
      <c r="T203" s="3"/>
      <c r="U203" s="3"/>
      <c r="V203" s="3"/>
      <c r="W203" s="3"/>
      <c r="X203" s="3"/>
      <c r="Y203" s="3"/>
      <c r="Z203" s="3"/>
    </row>
    <row r="204" ht="15.75" customHeight="1">
      <c r="A204" s="3"/>
      <c r="B204" s="3"/>
      <c r="C204" s="7"/>
      <c r="D204" s="3"/>
      <c r="E204" s="3"/>
      <c r="F204" s="7"/>
      <c r="G204" s="4"/>
      <c r="H204" s="3"/>
      <c r="I204" s="3"/>
      <c r="J204" s="3"/>
      <c r="K204" s="3"/>
      <c r="L204" s="3"/>
      <c r="M204" s="3"/>
      <c r="N204" s="3"/>
      <c r="O204" s="3"/>
      <c r="P204" s="3"/>
      <c r="Q204" s="3"/>
      <c r="R204" s="3"/>
      <c r="S204" s="3"/>
      <c r="T204" s="3"/>
      <c r="U204" s="3"/>
      <c r="V204" s="3"/>
      <c r="W204" s="3"/>
      <c r="X204" s="3"/>
      <c r="Y204" s="3"/>
      <c r="Z204" s="3"/>
    </row>
    <row r="205" ht="15.75" customHeight="1">
      <c r="A205" s="3"/>
      <c r="B205" s="3"/>
      <c r="C205" s="7"/>
      <c r="D205" s="3"/>
      <c r="E205" s="3"/>
      <c r="F205" s="7"/>
      <c r="G205" s="4"/>
      <c r="H205" s="3"/>
      <c r="I205" s="3"/>
      <c r="J205" s="3"/>
      <c r="K205" s="3"/>
      <c r="L205" s="3"/>
      <c r="M205" s="3"/>
      <c r="N205" s="3"/>
      <c r="O205" s="3"/>
      <c r="P205" s="3"/>
      <c r="Q205" s="3"/>
      <c r="R205" s="3"/>
      <c r="S205" s="3"/>
      <c r="T205" s="3"/>
      <c r="U205" s="3"/>
      <c r="V205" s="3"/>
      <c r="W205" s="3"/>
      <c r="X205" s="3"/>
      <c r="Y205" s="3"/>
      <c r="Z205" s="3"/>
    </row>
    <row r="206" ht="15.75" customHeight="1">
      <c r="A206" s="3"/>
      <c r="B206" s="3"/>
      <c r="C206" s="7"/>
      <c r="D206" s="3"/>
      <c r="E206" s="3"/>
      <c r="F206" s="7"/>
      <c r="G206" s="4"/>
      <c r="H206" s="3"/>
      <c r="I206" s="3"/>
      <c r="J206" s="3"/>
      <c r="K206" s="3"/>
      <c r="L206" s="3"/>
      <c r="M206" s="3"/>
      <c r="N206" s="3"/>
      <c r="O206" s="3"/>
      <c r="P206" s="3"/>
      <c r="Q206" s="3"/>
      <c r="R206" s="3"/>
      <c r="S206" s="3"/>
      <c r="T206" s="3"/>
      <c r="U206" s="3"/>
      <c r="V206" s="3"/>
      <c r="W206" s="3"/>
      <c r="X206" s="3"/>
      <c r="Y206" s="3"/>
      <c r="Z206" s="3"/>
    </row>
    <row r="207" ht="15.75" customHeight="1">
      <c r="A207" s="3"/>
      <c r="B207" s="3"/>
      <c r="C207" s="7"/>
      <c r="D207" s="3"/>
      <c r="E207" s="3"/>
      <c r="F207" s="7"/>
      <c r="G207" s="4"/>
      <c r="H207" s="3"/>
      <c r="I207" s="3"/>
      <c r="J207" s="3"/>
      <c r="K207" s="3"/>
      <c r="L207" s="3"/>
      <c r="M207" s="3"/>
      <c r="N207" s="3"/>
      <c r="O207" s="3"/>
      <c r="P207" s="3"/>
      <c r="Q207" s="3"/>
      <c r="R207" s="3"/>
      <c r="S207" s="3"/>
      <c r="T207" s="3"/>
      <c r="U207" s="3"/>
      <c r="V207" s="3"/>
      <c r="W207" s="3"/>
      <c r="X207" s="3"/>
      <c r="Y207" s="3"/>
      <c r="Z207" s="3"/>
    </row>
    <row r="208" ht="15.75" customHeight="1">
      <c r="A208" s="3"/>
      <c r="B208" s="3"/>
      <c r="C208" s="7"/>
      <c r="D208" s="3"/>
      <c r="E208" s="3"/>
      <c r="F208" s="7"/>
      <c r="G208" s="4"/>
      <c r="H208" s="3"/>
      <c r="I208" s="3"/>
      <c r="J208" s="3"/>
      <c r="K208" s="3"/>
      <c r="L208" s="3"/>
      <c r="M208" s="3"/>
      <c r="N208" s="3"/>
      <c r="O208" s="3"/>
      <c r="P208" s="3"/>
      <c r="Q208" s="3"/>
      <c r="R208" s="3"/>
      <c r="S208" s="3"/>
      <c r="T208" s="3"/>
      <c r="U208" s="3"/>
      <c r="V208" s="3"/>
      <c r="W208" s="3"/>
      <c r="X208" s="3"/>
      <c r="Y208" s="3"/>
      <c r="Z208" s="3"/>
    </row>
    <row r="209" ht="15.75" customHeight="1">
      <c r="A209" s="3"/>
      <c r="B209" s="3"/>
      <c r="C209" s="7"/>
      <c r="D209" s="3"/>
      <c r="E209" s="3"/>
      <c r="F209" s="7"/>
      <c r="G209" s="4"/>
      <c r="H209" s="3"/>
      <c r="I209" s="3"/>
      <c r="J209" s="3"/>
      <c r="K209" s="3"/>
      <c r="L209" s="3"/>
      <c r="M209" s="3"/>
      <c r="N209" s="3"/>
      <c r="O209" s="3"/>
      <c r="P209" s="3"/>
      <c r="Q209" s="3"/>
      <c r="R209" s="3"/>
      <c r="S209" s="3"/>
      <c r="T209" s="3"/>
      <c r="U209" s="3"/>
      <c r="V209" s="3"/>
      <c r="W209" s="3"/>
      <c r="X209" s="3"/>
      <c r="Y209" s="3"/>
      <c r="Z209" s="3"/>
    </row>
    <row r="210" ht="15.75" customHeight="1">
      <c r="A210" s="3"/>
      <c r="B210" s="3"/>
      <c r="C210" s="7"/>
      <c r="D210" s="3"/>
      <c r="E210" s="3"/>
      <c r="F210" s="7"/>
      <c r="G210" s="4"/>
      <c r="H210" s="3"/>
      <c r="I210" s="3"/>
      <c r="J210" s="3"/>
      <c r="K210" s="3"/>
      <c r="L210" s="3"/>
      <c r="M210" s="3"/>
      <c r="N210" s="3"/>
      <c r="O210" s="3"/>
      <c r="P210" s="3"/>
      <c r="Q210" s="3"/>
      <c r="R210" s="3"/>
      <c r="S210" s="3"/>
      <c r="T210" s="3"/>
      <c r="U210" s="3"/>
      <c r="V210" s="3"/>
      <c r="W210" s="3"/>
      <c r="X210" s="3"/>
      <c r="Y210" s="3"/>
      <c r="Z210" s="3"/>
    </row>
    <row r="211" ht="15.75" customHeight="1">
      <c r="A211" s="3"/>
      <c r="B211" s="3"/>
      <c r="C211" s="7"/>
      <c r="D211" s="3"/>
      <c r="E211" s="3"/>
      <c r="F211" s="7"/>
      <c r="G211" s="4"/>
      <c r="H211" s="3"/>
      <c r="I211" s="3"/>
      <c r="J211" s="3"/>
      <c r="K211" s="3"/>
      <c r="L211" s="3"/>
      <c r="M211" s="3"/>
      <c r="N211" s="3"/>
      <c r="O211" s="3"/>
      <c r="P211" s="3"/>
      <c r="Q211" s="3"/>
      <c r="R211" s="3"/>
      <c r="S211" s="3"/>
      <c r="T211" s="3"/>
      <c r="U211" s="3"/>
      <c r="V211" s="3"/>
      <c r="W211" s="3"/>
      <c r="X211" s="3"/>
      <c r="Y211" s="3"/>
      <c r="Z211" s="3"/>
    </row>
    <row r="212" ht="15.75" customHeight="1">
      <c r="A212" s="3"/>
      <c r="B212" s="3"/>
      <c r="C212" s="7"/>
      <c r="D212" s="3"/>
      <c r="E212" s="3"/>
      <c r="F212" s="7"/>
      <c r="G212" s="4"/>
      <c r="H212" s="3"/>
      <c r="I212" s="3"/>
      <c r="J212" s="3"/>
      <c r="K212" s="3"/>
      <c r="L212" s="3"/>
      <c r="M212" s="3"/>
      <c r="N212" s="3"/>
      <c r="O212" s="3"/>
      <c r="P212" s="3"/>
      <c r="Q212" s="3"/>
      <c r="R212" s="3"/>
      <c r="S212" s="3"/>
      <c r="T212" s="3"/>
      <c r="U212" s="3"/>
      <c r="V212" s="3"/>
      <c r="W212" s="3"/>
      <c r="X212" s="3"/>
      <c r="Y212" s="3"/>
      <c r="Z212" s="3"/>
    </row>
    <row r="213" ht="15.75" customHeight="1">
      <c r="A213" s="3"/>
      <c r="B213" s="3"/>
      <c r="C213" s="7"/>
      <c r="D213" s="3"/>
      <c r="E213" s="3"/>
      <c r="F213" s="7"/>
      <c r="G213" s="4"/>
      <c r="H213" s="3"/>
      <c r="I213" s="3"/>
      <c r="J213" s="3"/>
      <c r="K213" s="3"/>
      <c r="L213" s="3"/>
      <c r="M213" s="3"/>
      <c r="N213" s="3"/>
      <c r="O213" s="3"/>
      <c r="P213" s="3"/>
      <c r="Q213" s="3"/>
      <c r="R213" s="3"/>
      <c r="S213" s="3"/>
      <c r="T213" s="3"/>
      <c r="U213" s="3"/>
      <c r="V213" s="3"/>
      <c r="W213" s="3"/>
      <c r="X213" s="3"/>
      <c r="Y213" s="3"/>
      <c r="Z213" s="3"/>
    </row>
    <row r="214" ht="15.75" customHeight="1">
      <c r="A214" s="3"/>
      <c r="B214" s="3"/>
      <c r="C214" s="7"/>
      <c r="D214" s="3"/>
      <c r="E214" s="3"/>
      <c r="F214" s="7"/>
      <c r="G214" s="4"/>
      <c r="H214" s="3"/>
      <c r="I214" s="3"/>
      <c r="J214" s="3"/>
      <c r="K214" s="3"/>
      <c r="L214" s="3"/>
      <c r="M214" s="3"/>
      <c r="N214" s="3"/>
      <c r="O214" s="3"/>
      <c r="P214" s="3"/>
      <c r="Q214" s="3"/>
      <c r="R214" s="3"/>
      <c r="S214" s="3"/>
      <c r="T214" s="3"/>
      <c r="U214" s="3"/>
      <c r="V214" s="3"/>
      <c r="W214" s="3"/>
      <c r="X214" s="3"/>
      <c r="Y214" s="3"/>
      <c r="Z214" s="3"/>
    </row>
    <row r="215" ht="15.75" customHeight="1">
      <c r="A215" s="3"/>
      <c r="B215" s="3"/>
      <c r="C215" s="7"/>
      <c r="D215" s="3"/>
      <c r="E215" s="3"/>
      <c r="F215" s="7"/>
      <c r="G215" s="4"/>
      <c r="H215" s="3"/>
      <c r="I215" s="3"/>
      <c r="J215" s="3"/>
      <c r="K215" s="3"/>
      <c r="L215" s="3"/>
      <c r="M215" s="3"/>
      <c r="N215" s="3"/>
      <c r="O215" s="3"/>
      <c r="P215" s="3"/>
      <c r="Q215" s="3"/>
      <c r="R215" s="3"/>
      <c r="S215" s="3"/>
      <c r="T215" s="3"/>
      <c r="U215" s="3"/>
      <c r="V215" s="3"/>
      <c r="W215" s="3"/>
      <c r="X215" s="3"/>
      <c r="Y215" s="3"/>
      <c r="Z215" s="3"/>
    </row>
    <row r="216" ht="15.75" customHeight="1">
      <c r="A216" s="3"/>
      <c r="B216" s="3"/>
      <c r="C216" s="7"/>
      <c r="D216" s="3"/>
      <c r="E216" s="3"/>
      <c r="F216" s="7"/>
      <c r="G216" s="4"/>
      <c r="H216" s="3"/>
      <c r="I216" s="3"/>
      <c r="J216" s="3"/>
      <c r="K216" s="3"/>
      <c r="L216" s="3"/>
      <c r="M216" s="3"/>
      <c r="N216" s="3"/>
      <c r="O216" s="3"/>
      <c r="P216" s="3"/>
      <c r="Q216" s="3"/>
      <c r="R216" s="3"/>
      <c r="S216" s="3"/>
      <c r="T216" s="3"/>
      <c r="U216" s="3"/>
      <c r="V216" s="3"/>
      <c r="W216" s="3"/>
      <c r="X216" s="3"/>
      <c r="Y216" s="3"/>
      <c r="Z216" s="3"/>
    </row>
    <row r="217" ht="15.75" customHeight="1">
      <c r="A217" s="3"/>
      <c r="B217" s="3"/>
      <c r="C217" s="7"/>
      <c r="D217" s="3"/>
      <c r="E217" s="3"/>
      <c r="F217" s="7"/>
      <c r="G217" s="4"/>
      <c r="H217" s="3"/>
      <c r="I217" s="3"/>
      <c r="J217" s="3"/>
      <c r="K217" s="3"/>
      <c r="L217" s="3"/>
      <c r="M217" s="3"/>
      <c r="N217" s="3"/>
      <c r="O217" s="3"/>
      <c r="P217" s="3"/>
      <c r="Q217" s="3"/>
      <c r="R217" s="3"/>
      <c r="S217" s="3"/>
      <c r="T217" s="3"/>
      <c r="U217" s="3"/>
      <c r="V217" s="3"/>
      <c r="W217" s="3"/>
      <c r="X217" s="3"/>
      <c r="Y217" s="3"/>
      <c r="Z217" s="3"/>
    </row>
    <row r="218" ht="15.75" customHeight="1">
      <c r="A218" s="3"/>
      <c r="B218" s="3"/>
      <c r="C218" s="7"/>
      <c r="D218" s="3"/>
      <c r="E218" s="3"/>
      <c r="F218" s="7"/>
      <c r="G218" s="4"/>
      <c r="H218" s="3"/>
      <c r="I218" s="3"/>
      <c r="J218" s="3"/>
      <c r="K218" s="3"/>
      <c r="L218" s="3"/>
      <c r="M218" s="3"/>
      <c r="N218" s="3"/>
      <c r="O218" s="3"/>
      <c r="P218" s="3"/>
      <c r="Q218" s="3"/>
      <c r="R218" s="3"/>
      <c r="S218" s="3"/>
      <c r="T218" s="3"/>
      <c r="U218" s="3"/>
      <c r="V218" s="3"/>
      <c r="W218" s="3"/>
      <c r="X218" s="3"/>
      <c r="Y218" s="3"/>
      <c r="Z218" s="3"/>
    </row>
    <row r="219" ht="15.75" customHeight="1">
      <c r="A219" s="3"/>
      <c r="B219" s="3"/>
      <c r="C219" s="7"/>
      <c r="D219" s="3"/>
      <c r="E219" s="3"/>
      <c r="F219" s="7"/>
      <c r="G219" s="4"/>
      <c r="H219" s="3"/>
      <c r="I219" s="3"/>
      <c r="J219" s="3"/>
      <c r="K219" s="3"/>
      <c r="L219" s="3"/>
      <c r="M219" s="3"/>
      <c r="N219" s="3"/>
      <c r="O219" s="3"/>
      <c r="P219" s="3"/>
      <c r="Q219" s="3"/>
      <c r="R219" s="3"/>
      <c r="S219" s="3"/>
      <c r="T219" s="3"/>
      <c r="U219" s="3"/>
      <c r="V219" s="3"/>
      <c r="W219" s="3"/>
      <c r="X219" s="3"/>
      <c r="Y219" s="3"/>
      <c r="Z219" s="3"/>
    </row>
    <row r="220" ht="15.75" customHeight="1">
      <c r="A220" s="3"/>
      <c r="B220" s="3"/>
      <c r="C220" s="7"/>
      <c r="D220" s="3"/>
      <c r="E220" s="3"/>
      <c r="F220" s="7"/>
      <c r="G220" s="4"/>
      <c r="H220" s="3"/>
      <c r="I220" s="3"/>
      <c r="J220" s="3"/>
      <c r="K220" s="3"/>
      <c r="L220" s="3"/>
      <c r="M220" s="3"/>
      <c r="N220" s="3"/>
      <c r="O220" s="3"/>
      <c r="P220" s="3"/>
      <c r="Q220" s="3"/>
      <c r="R220" s="3"/>
      <c r="S220" s="3"/>
      <c r="T220" s="3"/>
      <c r="U220" s="3"/>
      <c r="V220" s="3"/>
      <c r="W220" s="3"/>
      <c r="X220" s="3"/>
      <c r="Y220" s="3"/>
      <c r="Z220" s="3"/>
    </row>
    <row r="221" ht="15.75" customHeight="1">
      <c r="A221" s="3"/>
      <c r="B221" s="3"/>
      <c r="C221" s="7"/>
      <c r="D221" s="3"/>
      <c r="E221" s="3"/>
      <c r="F221" s="7"/>
      <c r="G221" s="4"/>
      <c r="H221" s="3"/>
      <c r="I221" s="3"/>
      <c r="J221" s="3"/>
      <c r="K221" s="3"/>
      <c r="L221" s="3"/>
      <c r="M221" s="3"/>
      <c r="N221" s="3"/>
      <c r="O221" s="3"/>
      <c r="P221" s="3"/>
      <c r="Q221" s="3"/>
      <c r="R221" s="3"/>
      <c r="S221" s="3"/>
      <c r="T221" s="3"/>
      <c r="U221" s="3"/>
      <c r="V221" s="3"/>
      <c r="W221" s="3"/>
      <c r="X221" s="3"/>
      <c r="Y221" s="3"/>
      <c r="Z221" s="3"/>
    </row>
    <row r="222" ht="15.75" customHeight="1">
      <c r="A222" s="3"/>
      <c r="B222" s="3"/>
      <c r="C222" s="7"/>
      <c r="D222" s="3"/>
      <c r="E222" s="3"/>
      <c r="F222" s="7"/>
      <c r="G222" s="4"/>
      <c r="H222" s="3"/>
      <c r="I222" s="3"/>
      <c r="J222" s="3"/>
      <c r="K222" s="3"/>
      <c r="L222" s="3"/>
      <c r="M222" s="3"/>
      <c r="N222" s="3"/>
      <c r="O222" s="3"/>
      <c r="P222" s="3"/>
      <c r="Q222" s="3"/>
      <c r="R222" s="3"/>
      <c r="S222" s="3"/>
      <c r="T222" s="3"/>
      <c r="U222" s="3"/>
      <c r="V222" s="3"/>
      <c r="W222" s="3"/>
      <c r="X222" s="3"/>
      <c r="Y222" s="3"/>
      <c r="Z222" s="3"/>
    </row>
    <row r="223" ht="15.75" customHeight="1">
      <c r="A223" s="3"/>
      <c r="B223" s="3"/>
      <c r="C223" s="7"/>
      <c r="D223" s="3"/>
      <c r="E223" s="3"/>
      <c r="F223" s="7"/>
      <c r="G223" s="4"/>
      <c r="H223" s="3"/>
      <c r="I223" s="3"/>
      <c r="J223" s="3"/>
      <c r="K223" s="3"/>
      <c r="L223" s="3"/>
      <c r="M223" s="3"/>
      <c r="N223" s="3"/>
      <c r="O223" s="3"/>
      <c r="P223" s="3"/>
      <c r="Q223" s="3"/>
      <c r="R223" s="3"/>
      <c r="S223" s="3"/>
      <c r="T223" s="3"/>
      <c r="U223" s="3"/>
      <c r="V223" s="3"/>
      <c r="W223" s="3"/>
      <c r="X223" s="3"/>
      <c r="Y223" s="3"/>
      <c r="Z223" s="3"/>
    </row>
    <row r="224" ht="15.75" customHeight="1">
      <c r="A224" s="3"/>
      <c r="B224" s="3"/>
      <c r="C224" s="7"/>
      <c r="D224" s="3"/>
      <c r="E224" s="3"/>
      <c r="F224" s="7"/>
      <c r="G224" s="4"/>
      <c r="H224" s="3"/>
      <c r="I224" s="3"/>
      <c r="J224" s="3"/>
      <c r="K224" s="3"/>
      <c r="L224" s="3"/>
      <c r="M224" s="3"/>
      <c r="N224" s="3"/>
      <c r="O224" s="3"/>
      <c r="P224" s="3"/>
      <c r="Q224" s="3"/>
      <c r="R224" s="3"/>
      <c r="S224" s="3"/>
      <c r="T224" s="3"/>
      <c r="U224" s="3"/>
      <c r="V224" s="3"/>
      <c r="W224" s="3"/>
      <c r="X224" s="3"/>
      <c r="Y224" s="3"/>
      <c r="Z224" s="3"/>
    </row>
    <row r="225" ht="15.75" customHeight="1">
      <c r="A225" s="3"/>
      <c r="B225" s="3"/>
      <c r="C225" s="7"/>
      <c r="D225" s="3"/>
      <c r="E225" s="3"/>
      <c r="F225" s="7"/>
      <c r="G225" s="4"/>
      <c r="H225" s="3"/>
      <c r="I225" s="3"/>
      <c r="J225" s="3"/>
      <c r="K225" s="3"/>
      <c r="L225" s="3"/>
      <c r="M225" s="3"/>
      <c r="N225" s="3"/>
      <c r="O225" s="3"/>
      <c r="P225" s="3"/>
      <c r="Q225" s="3"/>
      <c r="R225" s="3"/>
      <c r="S225" s="3"/>
      <c r="T225" s="3"/>
      <c r="U225" s="3"/>
      <c r="V225" s="3"/>
      <c r="W225" s="3"/>
      <c r="X225" s="3"/>
      <c r="Y225" s="3"/>
      <c r="Z225" s="3"/>
    </row>
    <row r="226" ht="15.75" customHeight="1">
      <c r="A226" s="3"/>
      <c r="B226" s="3"/>
      <c r="C226" s="7"/>
      <c r="D226" s="3"/>
      <c r="E226" s="3"/>
      <c r="F226" s="7"/>
      <c r="G226" s="4"/>
      <c r="H226" s="3"/>
      <c r="I226" s="3"/>
      <c r="J226" s="3"/>
      <c r="K226" s="3"/>
      <c r="L226" s="3"/>
      <c r="M226" s="3"/>
      <c r="N226" s="3"/>
      <c r="O226" s="3"/>
      <c r="P226" s="3"/>
      <c r="Q226" s="3"/>
      <c r="R226" s="3"/>
      <c r="S226" s="3"/>
      <c r="T226" s="3"/>
      <c r="U226" s="3"/>
      <c r="V226" s="3"/>
      <c r="W226" s="3"/>
      <c r="X226" s="3"/>
      <c r="Y226" s="3"/>
      <c r="Z226" s="3"/>
    </row>
    <row r="227" ht="15.75" customHeight="1">
      <c r="A227" s="3"/>
      <c r="B227" s="3"/>
      <c r="C227" s="7"/>
      <c r="D227" s="3"/>
      <c r="E227" s="3"/>
      <c r="F227" s="7"/>
      <c r="G227" s="4"/>
      <c r="H227" s="3"/>
      <c r="I227" s="3"/>
      <c r="J227" s="3"/>
      <c r="K227" s="3"/>
      <c r="L227" s="3"/>
      <c r="M227" s="3"/>
      <c r="N227" s="3"/>
      <c r="O227" s="3"/>
      <c r="P227" s="3"/>
      <c r="Q227" s="3"/>
      <c r="R227" s="3"/>
      <c r="S227" s="3"/>
      <c r="T227" s="3"/>
      <c r="U227" s="3"/>
      <c r="V227" s="3"/>
      <c r="W227" s="3"/>
      <c r="X227" s="3"/>
      <c r="Y227" s="3"/>
      <c r="Z227" s="3"/>
    </row>
    <row r="228" ht="15.75" customHeight="1">
      <c r="A228" s="3"/>
      <c r="B228" s="3"/>
      <c r="C228" s="7"/>
      <c r="D228" s="3"/>
      <c r="E228" s="3"/>
      <c r="F228" s="7"/>
      <c r="G228" s="4"/>
      <c r="H228" s="3"/>
      <c r="I228" s="3"/>
      <c r="J228" s="3"/>
      <c r="K228" s="3"/>
      <c r="L228" s="3"/>
      <c r="M228" s="3"/>
      <c r="N228" s="3"/>
      <c r="O228" s="3"/>
      <c r="P228" s="3"/>
      <c r="Q228" s="3"/>
      <c r="R228" s="3"/>
      <c r="S228" s="3"/>
      <c r="T228" s="3"/>
      <c r="U228" s="3"/>
      <c r="V228" s="3"/>
      <c r="W228" s="3"/>
      <c r="X228" s="3"/>
      <c r="Y228" s="3"/>
      <c r="Z228" s="3"/>
    </row>
    <row r="229" ht="15.75" customHeight="1">
      <c r="A229" s="3"/>
      <c r="B229" s="3"/>
      <c r="C229" s="7"/>
      <c r="D229" s="3"/>
      <c r="E229" s="3"/>
      <c r="F229" s="7"/>
      <c r="G229" s="4"/>
      <c r="H229" s="3"/>
      <c r="I229" s="3"/>
      <c r="J229" s="3"/>
      <c r="K229" s="3"/>
      <c r="L229" s="3"/>
      <c r="M229" s="3"/>
      <c r="N229" s="3"/>
      <c r="O229" s="3"/>
      <c r="P229" s="3"/>
      <c r="Q229" s="3"/>
      <c r="R229" s="3"/>
      <c r="S229" s="3"/>
      <c r="T229" s="3"/>
      <c r="U229" s="3"/>
      <c r="V229" s="3"/>
      <c r="W229" s="3"/>
      <c r="X229" s="3"/>
      <c r="Y229" s="3"/>
      <c r="Z229" s="3"/>
    </row>
    <row r="230" ht="15.75" customHeight="1">
      <c r="A230" s="3"/>
      <c r="B230" s="3"/>
      <c r="C230" s="7"/>
      <c r="D230" s="3"/>
      <c r="E230" s="3"/>
      <c r="F230" s="7"/>
      <c r="G230" s="4"/>
      <c r="H230" s="3"/>
      <c r="I230" s="3"/>
      <c r="J230" s="3"/>
      <c r="K230" s="3"/>
      <c r="L230" s="3"/>
      <c r="M230" s="3"/>
      <c r="N230" s="3"/>
      <c r="O230" s="3"/>
      <c r="P230" s="3"/>
      <c r="Q230" s="3"/>
      <c r="R230" s="3"/>
      <c r="S230" s="3"/>
      <c r="T230" s="3"/>
      <c r="U230" s="3"/>
      <c r="V230" s="3"/>
      <c r="W230" s="3"/>
      <c r="X230" s="3"/>
      <c r="Y230" s="3"/>
      <c r="Z230" s="3"/>
    </row>
    <row r="231" ht="15.75" customHeight="1">
      <c r="A231" s="3"/>
      <c r="B231" s="3"/>
      <c r="C231" s="7"/>
      <c r="D231" s="3"/>
      <c r="E231" s="3"/>
      <c r="F231" s="7"/>
      <c r="G231" s="4"/>
      <c r="H231" s="3"/>
      <c r="I231" s="3"/>
      <c r="J231" s="3"/>
      <c r="K231" s="3"/>
      <c r="L231" s="3"/>
      <c r="M231" s="3"/>
      <c r="N231" s="3"/>
      <c r="O231" s="3"/>
      <c r="P231" s="3"/>
      <c r="Q231" s="3"/>
      <c r="R231" s="3"/>
      <c r="S231" s="3"/>
      <c r="T231" s="3"/>
      <c r="U231" s="3"/>
      <c r="V231" s="3"/>
      <c r="W231" s="3"/>
      <c r="X231" s="3"/>
      <c r="Y231" s="3"/>
      <c r="Z231" s="3"/>
    </row>
    <row r="232" ht="15.75" customHeight="1">
      <c r="A232" s="3"/>
      <c r="B232" s="3"/>
      <c r="C232" s="7"/>
      <c r="D232" s="3"/>
      <c r="E232" s="3"/>
      <c r="F232" s="7"/>
      <c r="G232" s="4"/>
      <c r="H232" s="3"/>
      <c r="I232" s="3"/>
      <c r="J232" s="3"/>
      <c r="K232" s="3"/>
      <c r="L232" s="3"/>
      <c r="M232" s="3"/>
      <c r="N232" s="3"/>
      <c r="O232" s="3"/>
      <c r="P232" s="3"/>
      <c r="Q232" s="3"/>
      <c r="R232" s="3"/>
      <c r="S232" s="3"/>
      <c r="T232" s="3"/>
      <c r="U232" s="3"/>
      <c r="V232" s="3"/>
      <c r="W232" s="3"/>
      <c r="X232" s="3"/>
      <c r="Y232" s="3"/>
      <c r="Z232" s="3"/>
    </row>
    <row r="233" ht="15.75" customHeight="1">
      <c r="A233" s="3"/>
      <c r="B233" s="3"/>
      <c r="C233" s="7"/>
      <c r="D233" s="3"/>
      <c r="E233" s="3"/>
      <c r="F233" s="7"/>
      <c r="G233" s="4"/>
      <c r="H233" s="3"/>
      <c r="I233" s="3"/>
      <c r="J233" s="3"/>
      <c r="K233" s="3"/>
      <c r="L233" s="3"/>
      <c r="M233" s="3"/>
      <c r="N233" s="3"/>
      <c r="O233" s="3"/>
      <c r="P233" s="3"/>
      <c r="Q233" s="3"/>
      <c r="R233" s="3"/>
      <c r="S233" s="3"/>
      <c r="T233" s="3"/>
      <c r="U233" s="3"/>
      <c r="V233" s="3"/>
      <c r="W233" s="3"/>
      <c r="X233" s="3"/>
      <c r="Y233" s="3"/>
      <c r="Z233" s="3"/>
    </row>
    <row r="234" ht="15.75" customHeight="1">
      <c r="A234" s="3"/>
      <c r="B234" s="3"/>
      <c r="C234" s="7"/>
      <c r="D234" s="3"/>
      <c r="E234" s="3"/>
      <c r="F234" s="7"/>
      <c r="G234" s="4"/>
      <c r="H234" s="3"/>
      <c r="I234" s="3"/>
      <c r="J234" s="3"/>
      <c r="K234" s="3"/>
      <c r="L234" s="3"/>
      <c r="M234" s="3"/>
      <c r="N234" s="3"/>
      <c r="O234" s="3"/>
      <c r="P234" s="3"/>
      <c r="Q234" s="3"/>
      <c r="R234" s="3"/>
      <c r="S234" s="3"/>
      <c r="T234" s="3"/>
      <c r="U234" s="3"/>
      <c r="V234" s="3"/>
      <c r="W234" s="3"/>
      <c r="X234" s="3"/>
      <c r="Y234" s="3"/>
      <c r="Z234" s="3"/>
    </row>
    <row r="235" ht="15.75" customHeight="1">
      <c r="A235" s="3"/>
      <c r="B235" s="3"/>
      <c r="C235" s="7"/>
      <c r="D235" s="3"/>
      <c r="E235" s="3"/>
      <c r="F235" s="7"/>
      <c r="G235" s="4"/>
      <c r="H235" s="3"/>
      <c r="I235" s="3"/>
      <c r="J235" s="3"/>
      <c r="K235" s="3"/>
      <c r="L235" s="3"/>
      <c r="M235" s="3"/>
      <c r="N235" s="3"/>
      <c r="O235" s="3"/>
      <c r="P235" s="3"/>
      <c r="Q235" s="3"/>
      <c r="R235" s="3"/>
      <c r="S235" s="3"/>
      <c r="T235" s="3"/>
      <c r="U235" s="3"/>
      <c r="V235" s="3"/>
      <c r="W235" s="3"/>
      <c r="X235" s="3"/>
      <c r="Y235" s="3"/>
      <c r="Z235" s="3"/>
    </row>
    <row r="236" ht="15.75" customHeight="1">
      <c r="A236" s="3"/>
      <c r="B236" s="3"/>
      <c r="C236" s="7"/>
      <c r="D236" s="3"/>
      <c r="E236" s="3"/>
      <c r="F236" s="7"/>
      <c r="G236" s="4"/>
      <c r="H236" s="3"/>
      <c r="I236" s="3"/>
      <c r="J236" s="3"/>
      <c r="K236" s="3"/>
      <c r="L236" s="3"/>
      <c r="M236" s="3"/>
      <c r="N236" s="3"/>
      <c r="O236" s="3"/>
      <c r="P236" s="3"/>
      <c r="Q236" s="3"/>
      <c r="R236" s="3"/>
      <c r="S236" s="3"/>
      <c r="T236" s="3"/>
      <c r="U236" s="3"/>
      <c r="V236" s="3"/>
      <c r="W236" s="3"/>
      <c r="X236" s="3"/>
      <c r="Y236" s="3"/>
      <c r="Z236" s="3"/>
    </row>
    <row r="237" ht="15.75" customHeight="1">
      <c r="A237" s="3"/>
      <c r="B237" s="3"/>
      <c r="C237" s="7"/>
      <c r="D237" s="3"/>
      <c r="E237" s="3"/>
      <c r="F237" s="7"/>
      <c r="G237" s="4"/>
      <c r="H237" s="3"/>
      <c r="I237" s="3"/>
      <c r="J237" s="3"/>
      <c r="K237" s="3"/>
      <c r="L237" s="3"/>
      <c r="M237" s="3"/>
      <c r="N237" s="3"/>
      <c r="O237" s="3"/>
      <c r="P237" s="3"/>
      <c r="Q237" s="3"/>
      <c r="R237" s="3"/>
      <c r="S237" s="3"/>
      <c r="T237" s="3"/>
      <c r="U237" s="3"/>
      <c r="V237" s="3"/>
      <c r="W237" s="3"/>
      <c r="X237" s="3"/>
      <c r="Y237" s="3"/>
      <c r="Z237" s="3"/>
    </row>
    <row r="238" ht="15.75" customHeight="1">
      <c r="A238" s="3"/>
      <c r="B238" s="3"/>
      <c r="C238" s="7"/>
      <c r="D238" s="3"/>
      <c r="E238" s="3"/>
      <c r="F238" s="7"/>
      <c r="G238" s="4"/>
      <c r="H238" s="3"/>
      <c r="I238" s="3"/>
      <c r="J238" s="3"/>
      <c r="K238" s="3"/>
      <c r="L238" s="3"/>
      <c r="M238" s="3"/>
      <c r="N238" s="3"/>
      <c r="O238" s="3"/>
      <c r="P238" s="3"/>
      <c r="Q238" s="3"/>
      <c r="R238" s="3"/>
      <c r="S238" s="3"/>
      <c r="T238" s="3"/>
      <c r="U238" s="3"/>
      <c r="V238" s="3"/>
      <c r="W238" s="3"/>
      <c r="X238" s="3"/>
      <c r="Y238" s="3"/>
      <c r="Z238" s="3"/>
    </row>
    <row r="239" ht="15.75" customHeight="1">
      <c r="A239" s="3"/>
      <c r="B239" s="3"/>
      <c r="C239" s="7"/>
      <c r="D239" s="3"/>
      <c r="E239" s="3"/>
      <c r="F239" s="7"/>
      <c r="G239" s="4"/>
      <c r="H239" s="3"/>
      <c r="I239" s="3"/>
      <c r="J239" s="3"/>
      <c r="K239" s="3"/>
      <c r="L239" s="3"/>
      <c r="M239" s="3"/>
      <c r="N239" s="3"/>
      <c r="O239" s="3"/>
      <c r="P239" s="3"/>
      <c r="Q239" s="3"/>
      <c r="R239" s="3"/>
      <c r="S239" s="3"/>
      <c r="T239" s="3"/>
      <c r="U239" s="3"/>
      <c r="V239" s="3"/>
      <c r="W239" s="3"/>
      <c r="X239" s="3"/>
      <c r="Y239" s="3"/>
      <c r="Z239" s="3"/>
    </row>
    <row r="240" ht="15.75" customHeight="1">
      <c r="A240" s="3"/>
      <c r="B240" s="3"/>
      <c r="C240" s="7"/>
      <c r="D240" s="3"/>
      <c r="E240" s="3"/>
      <c r="F240" s="7"/>
      <c r="G240" s="4"/>
      <c r="H240" s="3"/>
      <c r="I240" s="3"/>
      <c r="J240" s="3"/>
      <c r="K240" s="3"/>
      <c r="L240" s="3"/>
      <c r="M240" s="3"/>
      <c r="N240" s="3"/>
      <c r="O240" s="3"/>
      <c r="P240" s="3"/>
      <c r="Q240" s="3"/>
      <c r="R240" s="3"/>
      <c r="S240" s="3"/>
      <c r="T240" s="3"/>
      <c r="U240" s="3"/>
      <c r="V240" s="3"/>
      <c r="W240" s="3"/>
      <c r="X240" s="3"/>
      <c r="Y240" s="3"/>
      <c r="Z240" s="3"/>
    </row>
    <row r="241" ht="15.75" customHeight="1">
      <c r="A241" s="3"/>
      <c r="B241" s="3"/>
      <c r="C241" s="7"/>
      <c r="D241" s="3"/>
      <c r="E241" s="3"/>
      <c r="F241" s="7"/>
      <c r="G241" s="4"/>
      <c r="H241" s="3"/>
      <c r="I241" s="3"/>
      <c r="J241" s="3"/>
      <c r="K241" s="3"/>
      <c r="L241" s="3"/>
      <c r="M241" s="3"/>
      <c r="N241" s="3"/>
      <c r="O241" s="3"/>
      <c r="P241" s="3"/>
      <c r="Q241" s="3"/>
      <c r="R241" s="3"/>
      <c r="S241" s="3"/>
      <c r="T241" s="3"/>
      <c r="U241" s="3"/>
      <c r="V241" s="3"/>
      <c r="W241" s="3"/>
      <c r="X241" s="3"/>
      <c r="Y241" s="3"/>
      <c r="Z241" s="3"/>
    </row>
    <row r="242" ht="15.75" customHeight="1">
      <c r="A242" s="3"/>
      <c r="B242" s="3"/>
      <c r="C242" s="7"/>
      <c r="D242" s="3"/>
      <c r="E242" s="3"/>
      <c r="F242" s="7"/>
      <c r="G242" s="4"/>
      <c r="H242" s="3"/>
      <c r="I242" s="3"/>
      <c r="J242" s="3"/>
      <c r="K242" s="3"/>
      <c r="L242" s="3"/>
      <c r="M242" s="3"/>
      <c r="N242" s="3"/>
      <c r="O242" s="3"/>
      <c r="P242" s="3"/>
      <c r="Q242" s="3"/>
      <c r="R242" s="3"/>
      <c r="S242" s="3"/>
      <c r="T242" s="3"/>
      <c r="U242" s="3"/>
      <c r="V242" s="3"/>
      <c r="W242" s="3"/>
      <c r="X242" s="3"/>
      <c r="Y242" s="3"/>
      <c r="Z242" s="3"/>
    </row>
    <row r="243" ht="15.75" customHeight="1">
      <c r="A243" s="3"/>
      <c r="B243" s="3"/>
      <c r="C243" s="7"/>
      <c r="D243" s="3"/>
      <c r="E243" s="3"/>
      <c r="F243" s="7"/>
      <c r="G243" s="4"/>
      <c r="H243" s="3"/>
      <c r="I243" s="3"/>
      <c r="J243" s="3"/>
      <c r="K243" s="3"/>
      <c r="L243" s="3"/>
      <c r="M243" s="3"/>
      <c r="N243" s="3"/>
      <c r="O243" s="3"/>
      <c r="P243" s="3"/>
      <c r="Q243" s="3"/>
      <c r="R243" s="3"/>
      <c r="S243" s="3"/>
      <c r="T243" s="3"/>
      <c r="U243" s="3"/>
      <c r="V243" s="3"/>
      <c r="W243" s="3"/>
      <c r="X243" s="3"/>
      <c r="Y243" s="3"/>
      <c r="Z243" s="3"/>
    </row>
    <row r="244" ht="15.75" customHeight="1">
      <c r="A244" s="3"/>
      <c r="B244" s="3"/>
      <c r="C244" s="7"/>
      <c r="D244" s="3"/>
      <c r="E244" s="3"/>
      <c r="F244" s="7"/>
      <c r="G244" s="4"/>
      <c r="H244" s="3"/>
      <c r="I244" s="3"/>
      <c r="J244" s="3"/>
      <c r="K244" s="3"/>
      <c r="L244" s="3"/>
      <c r="M244" s="3"/>
      <c r="N244" s="3"/>
      <c r="O244" s="3"/>
      <c r="P244" s="3"/>
      <c r="Q244" s="3"/>
      <c r="R244" s="3"/>
      <c r="S244" s="3"/>
      <c r="T244" s="3"/>
      <c r="U244" s="3"/>
      <c r="V244" s="3"/>
      <c r="W244" s="3"/>
      <c r="X244" s="3"/>
      <c r="Y244" s="3"/>
      <c r="Z244" s="3"/>
    </row>
    <row r="245" ht="15.75" customHeight="1">
      <c r="A245" s="3"/>
      <c r="B245" s="3"/>
      <c r="C245" s="7"/>
      <c r="D245" s="3"/>
      <c r="E245" s="3"/>
      <c r="F245" s="7"/>
      <c r="G245" s="4"/>
      <c r="H245" s="3"/>
      <c r="I245" s="3"/>
      <c r="J245" s="3"/>
      <c r="K245" s="3"/>
      <c r="L245" s="3"/>
      <c r="M245" s="3"/>
      <c r="N245" s="3"/>
      <c r="O245" s="3"/>
      <c r="P245" s="3"/>
      <c r="Q245" s="3"/>
      <c r="R245" s="3"/>
      <c r="S245" s="3"/>
      <c r="T245" s="3"/>
      <c r="U245" s="3"/>
      <c r="V245" s="3"/>
      <c r="W245" s="3"/>
      <c r="X245" s="3"/>
      <c r="Y245" s="3"/>
      <c r="Z245" s="3"/>
    </row>
    <row r="246" ht="15.75" customHeight="1">
      <c r="A246" s="3"/>
      <c r="B246" s="3"/>
      <c r="C246" s="7"/>
      <c r="D246" s="3"/>
      <c r="E246" s="3"/>
      <c r="F246" s="7"/>
      <c r="G246" s="4"/>
      <c r="H246" s="3"/>
      <c r="I246" s="3"/>
      <c r="J246" s="3"/>
      <c r="K246" s="3"/>
      <c r="L246" s="3"/>
      <c r="M246" s="3"/>
      <c r="N246" s="3"/>
      <c r="O246" s="3"/>
      <c r="P246" s="3"/>
      <c r="Q246" s="3"/>
      <c r="R246" s="3"/>
      <c r="S246" s="3"/>
      <c r="T246" s="3"/>
      <c r="U246" s="3"/>
      <c r="V246" s="3"/>
      <c r="W246" s="3"/>
      <c r="X246" s="3"/>
      <c r="Y246" s="3"/>
      <c r="Z246" s="3"/>
    </row>
    <row r="247" ht="15.75" customHeight="1">
      <c r="A247" s="3"/>
      <c r="B247" s="3"/>
      <c r="C247" s="7"/>
      <c r="D247" s="3"/>
      <c r="E247" s="3"/>
      <c r="F247" s="7"/>
      <c r="G247" s="4"/>
      <c r="H247" s="3"/>
      <c r="I247" s="3"/>
      <c r="J247" s="3"/>
      <c r="K247" s="3"/>
      <c r="L247" s="3"/>
      <c r="M247" s="3"/>
      <c r="N247" s="3"/>
      <c r="O247" s="3"/>
      <c r="P247" s="3"/>
      <c r="Q247" s="3"/>
      <c r="R247" s="3"/>
      <c r="S247" s="3"/>
      <c r="T247" s="3"/>
      <c r="U247" s="3"/>
      <c r="V247" s="3"/>
      <c r="W247" s="3"/>
      <c r="X247" s="3"/>
      <c r="Y247" s="3"/>
      <c r="Z247" s="3"/>
    </row>
    <row r="248" ht="15.75" customHeight="1">
      <c r="A248" s="3"/>
      <c r="B248" s="3"/>
      <c r="C248" s="7"/>
      <c r="D248" s="3"/>
      <c r="E248" s="3"/>
      <c r="F248" s="7"/>
      <c r="G248" s="4"/>
      <c r="H248" s="3"/>
      <c r="I248" s="3"/>
      <c r="J248" s="3"/>
      <c r="K248" s="3"/>
      <c r="L248" s="3"/>
      <c r="M248" s="3"/>
      <c r="N248" s="3"/>
      <c r="O248" s="3"/>
      <c r="P248" s="3"/>
      <c r="Q248" s="3"/>
      <c r="R248" s="3"/>
      <c r="S248" s="3"/>
      <c r="T248" s="3"/>
      <c r="U248" s="3"/>
      <c r="V248" s="3"/>
      <c r="W248" s="3"/>
      <c r="X248" s="3"/>
      <c r="Y248" s="3"/>
      <c r="Z248" s="3"/>
    </row>
    <row r="249" ht="15.75" customHeight="1">
      <c r="A249" s="3"/>
      <c r="B249" s="3"/>
      <c r="C249" s="7"/>
      <c r="D249" s="3"/>
      <c r="E249" s="3"/>
      <c r="F249" s="7"/>
      <c r="G249" s="4"/>
      <c r="H249" s="3"/>
      <c r="I249" s="3"/>
      <c r="J249" s="3"/>
      <c r="K249" s="3"/>
      <c r="L249" s="3"/>
      <c r="M249" s="3"/>
      <c r="N249" s="3"/>
      <c r="O249" s="3"/>
      <c r="P249" s="3"/>
      <c r="Q249" s="3"/>
      <c r="R249" s="3"/>
      <c r="S249" s="3"/>
      <c r="T249" s="3"/>
      <c r="U249" s="3"/>
      <c r="V249" s="3"/>
      <c r="W249" s="3"/>
      <c r="X249" s="3"/>
      <c r="Y249" s="3"/>
      <c r="Z249" s="3"/>
    </row>
    <row r="250" ht="15.75" customHeight="1">
      <c r="A250" s="3"/>
      <c r="B250" s="3"/>
      <c r="C250" s="7"/>
      <c r="D250" s="3"/>
      <c r="E250" s="3"/>
      <c r="F250" s="7"/>
      <c r="G250" s="4"/>
      <c r="H250" s="3"/>
      <c r="I250" s="3"/>
      <c r="J250" s="3"/>
      <c r="K250" s="3"/>
      <c r="L250" s="3"/>
      <c r="M250" s="3"/>
      <c r="N250" s="3"/>
      <c r="O250" s="3"/>
      <c r="P250" s="3"/>
      <c r="Q250" s="3"/>
      <c r="R250" s="3"/>
      <c r="S250" s="3"/>
      <c r="T250" s="3"/>
      <c r="U250" s="3"/>
      <c r="V250" s="3"/>
      <c r="W250" s="3"/>
      <c r="X250" s="3"/>
      <c r="Y250" s="3"/>
      <c r="Z250" s="3"/>
    </row>
    <row r="251" ht="15.75" customHeight="1">
      <c r="A251" s="3"/>
      <c r="B251" s="3"/>
      <c r="C251" s="7"/>
      <c r="D251" s="3"/>
      <c r="E251" s="3"/>
      <c r="F251" s="7"/>
      <c r="G251" s="4"/>
      <c r="H251" s="3"/>
      <c r="I251" s="3"/>
      <c r="J251" s="3"/>
      <c r="K251" s="3"/>
      <c r="L251" s="3"/>
      <c r="M251" s="3"/>
      <c r="N251" s="3"/>
      <c r="O251" s="3"/>
      <c r="P251" s="3"/>
      <c r="Q251" s="3"/>
      <c r="R251" s="3"/>
      <c r="S251" s="3"/>
      <c r="T251" s="3"/>
      <c r="U251" s="3"/>
      <c r="V251" s="3"/>
      <c r="W251" s="3"/>
      <c r="X251" s="3"/>
      <c r="Y251" s="3"/>
      <c r="Z251" s="3"/>
    </row>
    <row r="252" ht="15.75" customHeight="1">
      <c r="A252" s="3"/>
      <c r="B252" s="3"/>
      <c r="C252" s="7"/>
      <c r="D252" s="3"/>
      <c r="E252" s="3"/>
      <c r="F252" s="7"/>
      <c r="G252" s="4"/>
      <c r="H252" s="3"/>
      <c r="I252" s="3"/>
      <c r="J252" s="3"/>
      <c r="K252" s="3"/>
      <c r="L252" s="3"/>
      <c r="M252" s="3"/>
      <c r="N252" s="3"/>
      <c r="O252" s="3"/>
      <c r="P252" s="3"/>
      <c r="Q252" s="3"/>
      <c r="R252" s="3"/>
      <c r="S252" s="3"/>
      <c r="T252" s="3"/>
      <c r="U252" s="3"/>
      <c r="V252" s="3"/>
      <c r="W252" s="3"/>
      <c r="X252" s="3"/>
      <c r="Y252" s="3"/>
      <c r="Z252" s="3"/>
    </row>
    <row r="253" ht="15.75" customHeight="1">
      <c r="A253" s="3"/>
      <c r="B253" s="3"/>
      <c r="C253" s="7"/>
      <c r="D253" s="3"/>
      <c r="E253" s="3"/>
      <c r="F253" s="7"/>
      <c r="G253" s="4"/>
      <c r="H253" s="3"/>
      <c r="I253" s="3"/>
      <c r="J253" s="3"/>
      <c r="K253" s="3"/>
      <c r="L253" s="3"/>
      <c r="M253" s="3"/>
      <c r="N253" s="3"/>
      <c r="O253" s="3"/>
      <c r="P253" s="3"/>
      <c r="Q253" s="3"/>
      <c r="R253" s="3"/>
      <c r="S253" s="3"/>
      <c r="T253" s="3"/>
      <c r="U253" s="3"/>
      <c r="V253" s="3"/>
      <c r="W253" s="3"/>
      <c r="X253" s="3"/>
      <c r="Y253" s="3"/>
      <c r="Z253" s="3"/>
    </row>
    <row r="254" ht="15.75" customHeight="1">
      <c r="A254" s="3"/>
      <c r="B254" s="3"/>
      <c r="C254" s="7"/>
      <c r="D254" s="3"/>
      <c r="E254" s="3"/>
      <c r="F254" s="7"/>
      <c r="G254" s="4"/>
      <c r="H254" s="3"/>
      <c r="I254" s="3"/>
      <c r="J254" s="3"/>
      <c r="K254" s="3"/>
      <c r="L254" s="3"/>
      <c r="M254" s="3"/>
      <c r="N254" s="3"/>
      <c r="O254" s="3"/>
      <c r="P254" s="3"/>
      <c r="Q254" s="3"/>
      <c r="R254" s="3"/>
      <c r="S254" s="3"/>
      <c r="T254" s="3"/>
      <c r="U254" s="3"/>
      <c r="V254" s="3"/>
      <c r="W254" s="3"/>
      <c r="X254" s="3"/>
      <c r="Y254" s="3"/>
      <c r="Z254" s="3"/>
    </row>
    <row r="255" ht="15.75" customHeight="1">
      <c r="A255" s="3"/>
      <c r="B255" s="3"/>
      <c r="C255" s="7"/>
      <c r="D255" s="3"/>
      <c r="E255" s="3"/>
      <c r="F255" s="7"/>
      <c r="G255" s="4"/>
      <c r="H255" s="3"/>
      <c r="I255" s="3"/>
      <c r="J255" s="3"/>
      <c r="K255" s="3"/>
      <c r="L255" s="3"/>
      <c r="M255" s="3"/>
      <c r="N255" s="3"/>
      <c r="O255" s="3"/>
      <c r="P255" s="3"/>
      <c r="Q255" s="3"/>
      <c r="R255" s="3"/>
      <c r="S255" s="3"/>
      <c r="T255" s="3"/>
      <c r="U255" s="3"/>
      <c r="V255" s="3"/>
      <c r="W255" s="3"/>
      <c r="X255" s="3"/>
      <c r="Y255" s="3"/>
      <c r="Z255" s="3"/>
    </row>
    <row r="256" ht="15.75" customHeight="1">
      <c r="A256" s="3"/>
      <c r="B256" s="3"/>
      <c r="C256" s="7"/>
      <c r="D256" s="3"/>
      <c r="E256" s="3"/>
      <c r="F256" s="7"/>
      <c r="G256" s="4"/>
      <c r="H256" s="3"/>
      <c r="I256" s="3"/>
      <c r="J256" s="3"/>
      <c r="K256" s="3"/>
      <c r="L256" s="3"/>
      <c r="M256" s="3"/>
      <c r="N256" s="3"/>
      <c r="O256" s="3"/>
      <c r="P256" s="3"/>
      <c r="Q256" s="3"/>
      <c r="R256" s="3"/>
      <c r="S256" s="3"/>
      <c r="T256" s="3"/>
      <c r="U256" s="3"/>
      <c r="V256" s="3"/>
      <c r="W256" s="3"/>
      <c r="X256" s="3"/>
      <c r="Y256" s="3"/>
      <c r="Z256" s="3"/>
    </row>
    <row r="257" ht="15.75" customHeight="1">
      <c r="A257" s="3"/>
      <c r="B257" s="3"/>
      <c r="C257" s="7"/>
      <c r="D257" s="3"/>
      <c r="E257" s="3"/>
      <c r="F257" s="7"/>
      <c r="G257" s="4"/>
      <c r="H257" s="3"/>
      <c r="I257" s="3"/>
      <c r="J257" s="3"/>
      <c r="K257" s="3"/>
      <c r="L257" s="3"/>
      <c r="M257" s="3"/>
      <c r="N257" s="3"/>
      <c r="O257" s="3"/>
      <c r="P257" s="3"/>
      <c r="Q257" s="3"/>
      <c r="R257" s="3"/>
      <c r="S257" s="3"/>
      <c r="T257" s="3"/>
      <c r="U257" s="3"/>
      <c r="V257" s="3"/>
      <c r="W257" s="3"/>
      <c r="X257" s="3"/>
      <c r="Y257" s="3"/>
      <c r="Z257" s="3"/>
    </row>
    <row r="258" ht="15.75" customHeight="1">
      <c r="A258" s="3"/>
      <c r="B258" s="3"/>
      <c r="C258" s="7"/>
      <c r="D258" s="3"/>
      <c r="E258" s="3"/>
      <c r="F258" s="7"/>
      <c r="G258" s="4"/>
      <c r="H258" s="3"/>
      <c r="I258" s="3"/>
      <c r="J258" s="3"/>
      <c r="K258" s="3"/>
      <c r="L258" s="3"/>
      <c r="M258" s="3"/>
      <c r="N258" s="3"/>
      <c r="O258" s="3"/>
      <c r="P258" s="3"/>
      <c r="Q258" s="3"/>
      <c r="R258" s="3"/>
      <c r="S258" s="3"/>
      <c r="T258" s="3"/>
      <c r="U258" s="3"/>
      <c r="V258" s="3"/>
      <c r="W258" s="3"/>
      <c r="X258" s="3"/>
      <c r="Y258" s="3"/>
      <c r="Z258" s="3"/>
    </row>
    <row r="259" ht="15.75" customHeight="1">
      <c r="A259" s="3"/>
      <c r="B259" s="3"/>
      <c r="C259" s="7"/>
      <c r="D259" s="3"/>
      <c r="E259" s="3"/>
      <c r="F259" s="7"/>
      <c r="G259" s="4"/>
      <c r="H259" s="3"/>
      <c r="I259" s="3"/>
      <c r="J259" s="3"/>
      <c r="K259" s="3"/>
      <c r="L259" s="3"/>
      <c r="M259" s="3"/>
      <c r="N259" s="3"/>
      <c r="O259" s="3"/>
      <c r="P259" s="3"/>
      <c r="Q259" s="3"/>
      <c r="R259" s="3"/>
      <c r="S259" s="3"/>
      <c r="T259" s="3"/>
      <c r="U259" s="3"/>
      <c r="V259" s="3"/>
      <c r="W259" s="3"/>
      <c r="X259" s="3"/>
      <c r="Y259" s="3"/>
      <c r="Z259" s="3"/>
    </row>
    <row r="260" ht="15.75" customHeight="1">
      <c r="A260" s="3"/>
      <c r="B260" s="3"/>
      <c r="C260" s="7"/>
      <c r="D260" s="3"/>
      <c r="E260" s="3"/>
      <c r="F260" s="7"/>
      <c r="G260" s="4"/>
      <c r="H260" s="3"/>
      <c r="I260" s="3"/>
      <c r="J260" s="3"/>
      <c r="K260" s="3"/>
      <c r="L260" s="3"/>
      <c r="M260" s="3"/>
      <c r="N260" s="3"/>
      <c r="O260" s="3"/>
      <c r="P260" s="3"/>
      <c r="Q260" s="3"/>
      <c r="R260" s="3"/>
      <c r="S260" s="3"/>
      <c r="T260" s="3"/>
      <c r="U260" s="3"/>
      <c r="V260" s="3"/>
      <c r="W260" s="3"/>
      <c r="X260" s="3"/>
      <c r="Y260" s="3"/>
      <c r="Z260" s="3"/>
    </row>
    <row r="261" ht="15.75" customHeight="1">
      <c r="A261" s="3"/>
      <c r="B261" s="3"/>
      <c r="C261" s="7"/>
      <c r="D261" s="3"/>
      <c r="E261" s="3"/>
      <c r="F261" s="7"/>
      <c r="G261" s="4"/>
      <c r="H261" s="3"/>
      <c r="I261" s="3"/>
      <c r="J261" s="3"/>
      <c r="K261" s="3"/>
      <c r="L261" s="3"/>
      <c r="M261" s="3"/>
      <c r="N261" s="3"/>
      <c r="O261" s="3"/>
      <c r="P261" s="3"/>
      <c r="Q261" s="3"/>
      <c r="R261" s="3"/>
      <c r="S261" s="3"/>
      <c r="T261" s="3"/>
      <c r="U261" s="3"/>
      <c r="V261" s="3"/>
      <c r="W261" s="3"/>
      <c r="X261" s="3"/>
      <c r="Y261" s="3"/>
      <c r="Z261" s="3"/>
    </row>
    <row r="262" ht="15.75" customHeight="1">
      <c r="A262" s="3"/>
      <c r="B262" s="3"/>
      <c r="C262" s="7"/>
      <c r="D262" s="3"/>
      <c r="E262" s="3"/>
      <c r="F262" s="7"/>
      <c r="G262" s="4"/>
      <c r="H262" s="3"/>
      <c r="I262" s="3"/>
      <c r="J262" s="3"/>
      <c r="K262" s="3"/>
      <c r="L262" s="3"/>
      <c r="M262" s="3"/>
      <c r="N262" s="3"/>
      <c r="O262" s="3"/>
      <c r="P262" s="3"/>
      <c r="Q262" s="3"/>
      <c r="R262" s="3"/>
      <c r="S262" s="3"/>
      <c r="T262" s="3"/>
      <c r="U262" s="3"/>
      <c r="V262" s="3"/>
      <c r="W262" s="3"/>
      <c r="X262" s="3"/>
      <c r="Y262" s="3"/>
      <c r="Z262" s="3"/>
    </row>
    <row r="263" ht="15.75" customHeight="1">
      <c r="A263" s="3"/>
      <c r="B263" s="3"/>
      <c r="C263" s="7"/>
      <c r="D263" s="3"/>
      <c r="E263" s="3"/>
      <c r="F263" s="7"/>
      <c r="G263" s="4"/>
      <c r="H263" s="3"/>
      <c r="I263" s="3"/>
      <c r="J263" s="3"/>
      <c r="K263" s="3"/>
      <c r="L263" s="3"/>
      <c r="M263" s="3"/>
      <c r="N263" s="3"/>
      <c r="O263" s="3"/>
      <c r="P263" s="3"/>
      <c r="Q263" s="3"/>
      <c r="R263" s="3"/>
      <c r="S263" s="3"/>
      <c r="T263" s="3"/>
      <c r="U263" s="3"/>
      <c r="V263" s="3"/>
      <c r="W263" s="3"/>
      <c r="X263" s="3"/>
      <c r="Y263" s="3"/>
      <c r="Z263" s="3"/>
    </row>
    <row r="264" ht="15.75" customHeight="1">
      <c r="A264" s="3"/>
      <c r="B264" s="3"/>
      <c r="C264" s="7"/>
      <c r="D264" s="3"/>
      <c r="E264" s="3"/>
      <c r="F264" s="7"/>
      <c r="G264" s="4"/>
      <c r="H264" s="3"/>
      <c r="I264" s="3"/>
      <c r="J264" s="3"/>
      <c r="K264" s="3"/>
      <c r="L264" s="3"/>
      <c r="M264" s="3"/>
      <c r="N264" s="3"/>
      <c r="O264" s="3"/>
      <c r="P264" s="3"/>
      <c r="Q264" s="3"/>
      <c r="R264" s="3"/>
      <c r="S264" s="3"/>
      <c r="T264" s="3"/>
      <c r="U264" s="3"/>
      <c r="V264" s="3"/>
      <c r="W264" s="3"/>
      <c r="X264" s="3"/>
      <c r="Y264" s="3"/>
      <c r="Z264" s="3"/>
    </row>
    <row r="265" ht="15.75" customHeight="1">
      <c r="A265" s="3"/>
      <c r="B265" s="3"/>
      <c r="C265" s="7"/>
      <c r="D265" s="3"/>
      <c r="E265" s="3"/>
      <c r="F265" s="7"/>
      <c r="G265" s="4"/>
      <c r="H265" s="3"/>
      <c r="I265" s="3"/>
      <c r="J265" s="3"/>
      <c r="K265" s="3"/>
      <c r="L265" s="3"/>
      <c r="M265" s="3"/>
      <c r="N265" s="3"/>
      <c r="O265" s="3"/>
      <c r="P265" s="3"/>
      <c r="Q265" s="3"/>
      <c r="R265" s="3"/>
      <c r="S265" s="3"/>
      <c r="T265" s="3"/>
      <c r="U265" s="3"/>
      <c r="V265" s="3"/>
      <c r="W265" s="3"/>
      <c r="X265" s="3"/>
      <c r="Y265" s="3"/>
      <c r="Z265" s="3"/>
    </row>
    <row r="266" ht="15.75" customHeight="1">
      <c r="A266" s="3"/>
      <c r="B266" s="3"/>
      <c r="C266" s="7"/>
      <c r="D266" s="3"/>
      <c r="E266" s="3"/>
      <c r="F266" s="7"/>
      <c r="G266" s="4"/>
      <c r="H266" s="3"/>
      <c r="I266" s="3"/>
      <c r="J266" s="3"/>
      <c r="K266" s="3"/>
      <c r="L266" s="3"/>
      <c r="M266" s="3"/>
      <c r="N266" s="3"/>
      <c r="O266" s="3"/>
      <c r="P266" s="3"/>
      <c r="Q266" s="3"/>
      <c r="R266" s="3"/>
      <c r="S266" s="3"/>
      <c r="T266" s="3"/>
      <c r="U266" s="3"/>
      <c r="V266" s="3"/>
      <c r="W266" s="3"/>
      <c r="X266" s="3"/>
      <c r="Y266" s="3"/>
      <c r="Z266" s="3"/>
    </row>
    <row r="267" ht="15.75" customHeight="1">
      <c r="A267" s="3"/>
      <c r="B267" s="3"/>
      <c r="C267" s="7"/>
      <c r="D267" s="3"/>
      <c r="E267" s="3"/>
      <c r="F267" s="7"/>
      <c r="G267" s="4"/>
      <c r="H267" s="3"/>
      <c r="I267" s="3"/>
      <c r="J267" s="3"/>
      <c r="K267" s="3"/>
      <c r="L267" s="3"/>
      <c r="M267" s="3"/>
      <c r="N267" s="3"/>
      <c r="O267" s="3"/>
      <c r="P267" s="3"/>
      <c r="Q267" s="3"/>
      <c r="R267" s="3"/>
      <c r="S267" s="3"/>
      <c r="T267" s="3"/>
      <c r="U267" s="3"/>
      <c r="V267" s="3"/>
      <c r="W267" s="3"/>
      <c r="X267" s="3"/>
      <c r="Y267" s="3"/>
      <c r="Z267" s="3"/>
    </row>
    <row r="268" ht="15.75" customHeight="1">
      <c r="A268" s="3"/>
      <c r="B268" s="3"/>
      <c r="C268" s="7"/>
      <c r="D268" s="3"/>
      <c r="E268" s="3"/>
      <c r="F268" s="7"/>
      <c r="G268" s="4"/>
      <c r="H268" s="3"/>
      <c r="I268" s="3"/>
      <c r="J268" s="3"/>
      <c r="K268" s="3"/>
      <c r="L268" s="3"/>
      <c r="M268" s="3"/>
      <c r="N268" s="3"/>
      <c r="O268" s="3"/>
      <c r="P268" s="3"/>
      <c r="Q268" s="3"/>
      <c r="R268" s="3"/>
      <c r="S268" s="3"/>
      <c r="T268" s="3"/>
      <c r="U268" s="3"/>
      <c r="V268" s="3"/>
      <c r="W268" s="3"/>
      <c r="X268" s="3"/>
      <c r="Y268" s="3"/>
      <c r="Z268" s="3"/>
    </row>
    <row r="269" ht="15.75" customHeight="1">
      <c r="A269" s="3"/>
      <c r="B269" s="3"/>
      <c r="C269" s="7"/>
      <c r="D269" s="3"/>
      <c r="E269" s="3"/>
      <c r="F269" s="7"/>
      <c r="G269" s="4"/>
      <c r="H269" s="3"/>
      <c r="I269" s="3"/>
      <c r="J269" s="3"/>
      <c r="K269" s="3"/>
      <c r="L269" s="3"/>
      <c r="M269" s="3"/>
      <c r="N269" s="3"/>
      <c r="O269" s="3"/>
      <c r="P269" s="3"/>
      <c r="Q269" s="3"/>
      <c r="R269" s="3"/>
      <c r="S269" s="3"/>
      <c r="T269" s="3"/>
      <c r="U269" s="3"/>
      <c r="V269" s="3"/>
      <c r="W269" s="3"/>
      <c r="X269" s="3"/>
      <c r="Y269" s="3"/>
      <c r="Z269" s="3"/>
    </row>
    <row r="270" ht="15.75" customHeight="1">
      <c r="A270" s="3"/>
      <c r="B270" s="3"/>
      <c r="C270" s="7"/>
      <c r="D270" s="3"/>
      <c r="E270" s="3"/>
      <c r="F270" s="7"/>
      <c r="G270" s="4"/>
      <c r="H270" s="3"/>
      <c r="I270" s="3"/>
      <c r="J270" s="3"/>
      <c r="K270" s="3"/>
      <c r="L270" s="3"/>
      <c r="M270" s="3"/>
      <c r="N270" s="3"/>
      <c r="O270" s="3"/>
      <c r="P270" s="3"/>
      <c r="Q270" s="3"/>
      <c r="R270" s="3"/>
      <c r="S270" s="3"/>
      <c r="T270" s="3"/>
      <c r="U270" s="3"/>
      <c r="V270" s="3"/>
      <c r="W270" s="3"/>
      <c r="X270" s="3"/>
      <c r="Y270" s="3"/>
      <c r="Z270" s="3"/>
    </row>
    <row r="271" ht="15.75" customHeight="1">
      <c r="A271" s="3"/>
      <c r="B271" s="3"/>
      <c r="C271" s="7"/>
      <c r="D271" s="3"/>
      <c r="E271" s="3"/>
      <c r="F271" s="7"/>
      <c r="G271" s="4"/>
      <c r="H271" s="3"/>
      <c r="I271" s="3"/>
      <c r="J271" s="3"/>
      <c r="K271" s="3"/>
      <c r="L271" s="3"/>
      <c r="M271" s="3"/>
      <c r="N271" s="3"/>
      <c r="O271" s="3"/>
      <c r="P271" s="3"/>
      <c r="Q271" s="3"/>
      <c r="R271" s="3"/>
      <c r="S271" s="3"/>
      <c r="T271" s="3"/>
      <c r="U271" s="3"/>
      <c r="V271" s="3"/>
      <c r="W271" s="3"/>
      <c r="X271" s="3"/>
      <c r="Y271" s="3"/>
      <c r="Z271" s="3"/>
    </row>
    <row r="272" ht="15.75" customHeight="1">
      <c r="A272" s="3"/>
      <c r="B272" s="3"/>
      <c r="C272" s="7"/>
      <c r="D272" s="3"/>
      <c r="E272" s="3"/>
      <c r="F272" s="7"/>
      <c r="G272" s="4"/>
      <c r="H272" s="3"/>
      <c r="I272" s="3"/>
      <c r="J272" s="3"/>
      <c r="K272" s="3"/>
      <c r="L272" s="3"/>
      <c r="M272" s="3"/>
      <c r="N272" s="3"/>
      <c r="O272" s="3"/>
      <c r="P272" s="3"/>
      <c r="Q272" s="3"/>
      <c r="R272" s="3"/>
      <c r="S272" s="3"/>
      <c r="T272" s="3"/>
      <c r="U272" s="3"/>
      <c r="V272" s="3"/>
      <c r="W272" s="3"/>
      <c r="X272" s="3"/>
      <c r="Y272" s="3"/>
      <c r="Z272" s="3"/>
    </row>
    <row r="273" ht="15.75" customHeight="1">
      <c r="A273" s="3"/>
      <c r="B273" s="3"/>
      <c r="C273" s="7"/>
      <c r="D273" s="3"/>
      <c r="E273" s="3"/>
      <c r="F273" s="7"/>
      <c r="G273" s="4"/>
      <c r="H273" s="3"/>
      <c r="I273" s="3"/>
      <c r="J273" s="3"/>
      <c r="K273" s="3"/>
      <c r="L273" s="3"/>
      <c r="M273" s="3"/>
      <c r="N273" s="3"/>
      <c r="O273" s="3"/>
      <c r="P273" s="3"/>
      <c r="Q273" s="3"/>
      <c r="R273" s="3"/>
      <c r="S273" s="3"/>
      <c r="T273" s="3"/>
      <c r="U273" s="3"/>
      <c r="V273" s="3"/>
      <c r="W273" s="3"/>
      <c r="X273" s="3"/>
      <c r="Y273" s="3"/>
      <c r="Z273" s="3"/>
    </row>
    <row r="274" ht="15.75" customHeight="1">
      <c r="A274" s="3"/>
      <c r="B274" s="3"/>
      <c r="C274" s="7"/>
      <c r="D274" s="3"/>
      <c r="E274" s="3"/>
      <c r="F274" s="7"/>
      <c r="G274" s="4"/>
      <c r="H274" s="3"/>
      <c r="I274" s="3"/>
      <c r="J274" s="3"/>
      <c r="K274" s="3"/>
      <c r="L274" s="3"/>
      <c r="M274" s="3"/>
      <c r="N274" s="3"/>
      <c r="O274" s="3"/>
      <c r="P274" s="3"/>
      <c r="Q274" s="3"/>
      <c r="R274" s="3"/>
      <c r="S274" s="3"/>
      <c r="T274" s="3"/>
      <c r="U274" s="3"/>
      <c r="V274" s="3"/>
      <c r="W274" s="3"/>
      <c r="X274" s="3"/>
      <c r="Y274" s="3"/>
      <c r="Z274" s="3"/>
    </row>
    <row r="275" ht="15.75" customHeight="1">
      <c r="A275" s="3"/>
      <c r="B275" s="3"/>
      <c r="C275" s="7"/>
      <c r="D275" s="3"/>
      <c r="E275" s="3"/>
      <c r="F275" s="7"/>
      <c r="G275" s="4"/>
      <c r="H275" s="3"/>
      <c r="I275" s="3"/>
      <c r="J275" s="3"/>
      <c r="K275" s="3"/>
      <c r="L275" s="3"/>
      <c r="M275" s="3"/>
      <c r="N275" s="3"/>
      <c r="O275" s="3"/>
      <c r="P275" s="3"/>
      <c r="Q275" s="3"/>
      <c r="R275" s="3"/>
      <c r="S275" s="3"/>
      <c r="T275" s="3"/>
      <c r="U275" s="3"/>
      <c r="V275" s="3"/>
      <c r="W275" s="3"/>
      <c r="X275" s="3"/>
      <c r="Y275" s="3"/>
      <c r="Z275" s="3"/>
    </row>
    <row r="276" ht="15.75" customHeight="1">
      <c r="A276" s="3"/>
      <c r="B276" s="3"/>
      <c r="C276" s="7"/>
      <c r="D276" s="3"/>
      <c r="E276" s="3"/>
      <c r="F276" s="7"/>
      <c r="G276" s="4"/>
      <c r="H276" s="3"/>
      <c r="I276" s="3"/>
      <c r="J276" s="3"/>
      <c r="K276" s="3"/>
      <c r="L276" s="3"/>
      <c r="M276" s="3"/>
      <c r="N276" s="3"/>
      <c r="O276" s="3"/>
      <c r="P276" s="3"/>
      <c r="Q276" s="3"/>
      <c r="R276" s="3"/>
      <c r="S276" s="3"/>
      <c r="T276" s="3"/>
      <c r="U276" s="3"/>
      <c r="V276" s="3"/>
      <c r="W276" s="3"/>
      <c r="X276" s="3"/>
      <c r="Y276" s="3"/>
      <c r="Z276" s="3"/>
    </row>
    <row r="277" ht="15.75" customHeight="1">
      <c r="A277" s="3"/>
      <c r="B277" s="3"/>
      <c r="C277" s="7"/>
      <c r="D277" s="3"/>
      <c r="E277" s="3"/>
      <c r="F277" s="7"/>
      <c r="G277" s="4"/>
      <c r="H277" s="3"/>
      <c r="I277" s="3"/>
      <c r="J277" s="3"/>
      <c r="K277" s="3"/>
      <c r="L277" s="3"/>
      <c r="M277" s="3"/>
      <c r="N277" s="3"/>
      <c r="O277" s="3"/>
      <c r="P277" s="3"/>
      <c r="Q277" s="3"/>
      <c r="R277" s="3"/>
      <c r="S277" s="3"/>
      <c r="T277" s="3"/>
      <c r="U277" s="3"/>
      <c r="V277" s="3"/>
      <c r="W277" s="3"/>
      <c r="X277" s="3"/>
      <c r="Y277" s="3"/>
      <c r="Z277" s="3"/>
    </row>
    <row r="278" ht="15.75" customHeight="1">
      <c r="A278" s="3"/>
      <c r="B278" s="3"/>
      <c r="C278" s="7"/>
      <c r="D278" s="3"/>
      <c r="E278" s="3"/>
      <c r="F278" s="7"/>
      <c r="G278" s="4"/>
      <c r="H278" s="3"/>
      <c r="I278" s="3"/>
      <c r="J278" s="3"/>
      <c r="K278" s="3"/>
      <c r="L278" s="3"/>
      <c r="M278" s="3"/>
      <c r="N278" s="3"/>
      <c r="O278" s="3"/>
      <c r="P278" s="3"/>
      <c r="Q278" s="3"/>
      <c r="R278" s="3"/>
      <c r="S278" s="3"/>
      <c r="T278" s="3"/>
      <c r="U278" s="3"/>
      <c r="V278" s="3"/>
      <c r="W278" s="3"/>
      <c r="X278" s="3"/>
      <c r="Y278" s="3"/>
      <c r="Z278" s="3"/>
    </row>
    <row r="279" ht="15.75" customHeight="1">
      <c r="A279" s="3"/>
      <c r="B279" s="3"/>
      <c r="C279" s="7"/>
      <c r="D279" s="3"/>
      <c r="E279" s="3"/>
      <c r="F279" s="7"/>
      <c r="G279" s="4"/>
      <c r="H279" s="3"/>
      <c r="I279" s="3"/>
      <c r="J279" s="3"/>
      <c r="K279" s="3"/>
      <c r="L279" s="3"/>
      <c r="M279" s="3"/>
      <c r="N279" s="3"/>
      <c r="O279" s="3"/>
      <c r="P279" s="3"/>
      <c r="Q279" s="3"/>
      <c r="R279" s="3"/>
      <c r="S279" s="3"/>
      <c r="T279" s="3"/>
      <c r="U279" s="3"/>
      <c r="V279" s="3"/>
      <c r="W279" s="3"/>
      <c r="X279" s="3"/>
      <c r="Y279" s="3"/>
      <c r="Z279" s="3"/>
    </row>
    <row r="280" ht="15.75" customHeight="1">
      <c r="A280" s="3"/>
      <c r="B280" s="3"/>
      <c r="C280" s="7"/>
      <c r="D280" s="3"/>
      <c r="E280" s="3"/>
      <c r="F280" s="7"/>
      <c r="G280" s="4"/>
      <c r="H280" s="3"/>
      <c r="I280" s="3"/>
      <c r="J280" s="3"/>
      <c r="K280" s="3"/>
      <c r="L280" s="3"/>
      <c r="M280" s="3"/>
      <c r="N280" s="3"/>
      <c r="O280" s="3"/>
      <c r="P280" s="3"/>
      <c r="Q280" s="3"/>
      <c r="R280" s="3"/>
      <c r="S280" s="3"/>
      <c r="T280" s="3"/>
      <c r="U280" s="3"/>
      <c r="V280" s="3"/>
      <c r="W280" s="3"/>
      <c r="X280" s="3"/>
      <c r="Y280" s="3"/>
      <c r="Z280" s="3"/>
    </row>
    <row r="281" ht="15.75" customHeight="1">
      <c r="A281" s="3"/>
      <c r="B281" s="3"/>
      <c r="C281" s="7"/>
      <c r="D281" s="3"/>
      <c r="E281" s="3"/>
      <c r="F281" s="7"/>
      <c r="G281" s="4"/>
      <c r="H281" s="3"/>
      <c r="I281" s="3"/>
      <c r="J281" s="3"/>
      <c r="K281" s="3"/>
      <c r="L281" s="3"/>
      <c r="M281" s="3"/>
      <c r="N281" s="3"/>
      <c r="O281" s="3"/>
      <c r="P281" s="3"/>
      <c r="Q281" s="3"/>
      <c r="R281" s="3"/>
      <c r="S281" s="3"/>
      <c r="T281" s="3"/>
      <c r="U281" s="3"/>
      <c r="V281" s="3"/>
      <c r="W281" s="3"/>
      <c r="X281" s="3"/>
      <c r="Y281" s="3"/>
      <c r="Z281" s="3"/>
    </row>
    <row r="282" ht="15.75" customHeight="1">
      <c r="A282" s="3"/>
      <c r="B282" s="3"/>
      <c r="C282" s="7"/>
      <c r="D282" s="3"/>
      <c r="E282" s="3"/>
      <c r="F282" s="7"/>
      <c r="G282" s="4"/>
      <c r="H282" s="3"/>
      <c r="I282" s="3"/>
      <c r="J282" s="3"/>
      <c r="K282" s="3"/>
      <c r="L282" s="3"/>
      <c r="M282" s="3"/>
      <c r="N282" s="3"/>
      <c r="O282" s="3"/>
      <c r="P282" s="3"/>
      <c r="Q282" s="3"/>
      <c r="R282" s="3"/>
      <c r="S282" s="3"/>
      <c r="T282" s="3"/>
      <c r="U282" s="3"/>
      <c r="V282" s="3"/>
      <c r="W282" s="3"/>
      <c r="X282" s="3"/>
      <c r="Y282" s="3"/>
      <c r="Z282" s="3"/>
    </row>
    <row r="283" ht="15.75" customHeight="1">
      <c r="A283" s="3"/>
      <c r="B283" s="3"/>
      <c r="C283" s="7"/>
      <c r="D283" s="3"/>
      <c r="E283" s="3"/>
      <c r="F283" s="7"/>
      <c r="G283" s="4"/>
      <c r="H283" s="3"/>
      <c r="I283" s="3"/>
      <c r="J283" s="3"/>
      <c r="K283" s="3"/>
      <c r="L283" s="3"/>
      <c r="M283" s="3"/>
      <c r="N283" s="3"/>
      <c r="O283" s="3"/>
      <c r="P283" s="3"/>
      <c r="Q283" s="3"/>
      <c r="R283" s="3"/>
      <c r="S283" s="3"/>
      <c r="T283" s="3"/>
      <c r="U283" s="3"/>
      <c r="V283" s="3"/>
      <c r="W283" s="3"/>
      <c r="X283" s="3"/>
      <c r="Y283" s="3"/>
      <c r="Z283" s="3"/>
    </row>
    <row r="284" ht="15.75" customHeight="1">
      <c r="A284" s="3"/>
      <c r="B284" s="3"/>
      <c r="C284" s="7"/>
      <c r="D284" s="3"/>
      <c r="E284" s="3"/>
      <c r="F284" s="7"/>
      <c r="G284" s="4"/>
      <c r="H284" s="3"/>
      <c r="I284" s="3"/>
      <c r="J284" s="3"/>
      <c r="K284" s="3"/>
      <c r="L284" s="3"/>
      <c r="M284" s="3"/>
      <c r="N284" s="3"/>
      <c r="O284" s="3"/>
      <c r="P284" s="3"/>
      <c r="Q284" s="3"/>
      <c r="R284" s="3"/>
      <c r="S284" s="3"/>
      <c r="T284" s="3"/>
      <c r="U284" s="3"/>
      <c r="V284" s="3"/>
      <c r="W284" s="3"/>
      <c r="X284" s="3"/>
      <c r="Y284" s="3"/>
      <c r="Z284" s="3"/>
    </row>
    <row r="285" ht="15.75" customHeight="1">
      <c r="A285" s="3"/>
      <c r="B285" s="3"/>
      <c r="C285" s="7"/>
      <c r="D285" s="3"/>
      <c r="E285" s="3"/>
      <c r="F285" s="7"/>
      <c r="G285" s="4"/>
      <c r="H285" s="3"/>
      <c r="I285" s="3"/>
      <c r="J285" s="3"/>
      <c r="K285" s="3"/>
      <c r="L285" s="3"/>
      <c r="M285" s="3"/>
      <c r="N285" s="3"/>
      <c r="O285" s="3"/>
      <c r="P285" s="3"/>
      <c r="Q285" s="3"/>
      <c r="R285" s="3"/>
      <c r="S285" s="3"/>
      <c r="T285" s="3"/>
      <c r="U285" s="3"/>
      <c r="V285" s="3"/>
      <c r="W285" s="3"/>
      <c r="X285" s="3"/>
      <c r="Y285" s="3"/>
      <c r="Z285" s="3"/>
    </row>
    <row r="286" ht="15.75" customHeight="1">
      <c r="A286" s="3"/>
      <c r="B286" s="3"/>
      <c r="C286" s="7"/>
      <c r="D286" s="3"/>
      <c r="E286" s="3"/>
      <c r="F286" s="7"/>
      <c r="G286" s="4"/>
      <c r="H286" s="3"/>
      <c r="I286" s="3"/>
      <c r="J286" s="3"/>
      <c r="K286" s="3"/>
      <c r="L286" s="3"/>
      <c r="M286" s="3"/>
      <c r="N286" s="3"/>
      <c r="O286" s="3"/>
      <c r="P286" s="3"/>
      <c r="Q286" s="3"/>
      <c r="R286" s="3"/>
      <c r="S286" s="3"/>
      <c r="T286" s="3"/>
      <c r="U286" s="3"/>
      <c r="V286" s="3"/>
      <c r="W286" s="3"/>
      <c r="X286" s="3"/>
      <c r="Y286" s="3"/>
      <c r="Z286" s="3"/>
    </row>
    <row r="287" ht="15.75" customHeight="1">
      <c r="A287" s="3"/>
      <c r="B287" s="3"/>
      <c r="C287" s="7"/>
      <c r="D287" s="3"/>
      <c r="E287" s="3"/>
      <c r="F287" s="7"/>
      <c r="G287" s="4"/>
      <c r="H287" s="3"/>
      <c r="I287" s="3"/>
      <c r="J287" s="3"/>
      <c r="K287" s="3"/>
      <c r="L287" s="3"/>
      <c r="M287" s="3"/>
      <c r="N287" s="3"/>
      <c r="O287" s="3"/>
      <c r="P287" s="3"/>
      <c r="Q287" s="3"/>
      <c r="R287" s="3"/>
      <c r="S287" s="3"/>
      <c r="T287" s="3"/>
      <c r="U287" s="3"/>
      <c r="V287" s="3"/>
      <c r="W287" s="3"/>
      <c r="X287" s="3"/>
      <c r="Y287" s="3"/>
      <c r="Z287" s="3"/>
    </row>
    <row r="288" ht="15.75" customHeight="1">
      <c r="A288" s="3"/>
      <c r="B288" s="3"/>
      <c r="C288" s="7"/>
      <c r="D288" s="3"/>
      <c r="E288" s="3"/>
      <c r="F288" s="7"/>
      <c r="G288" s="4"/>
      <c r="H288" s="3"/>
      <c r="I288" s="3"/>
      <c r="J288" s="3"/>
      <c r="K288" s="3"/>
      <c r="L288" s="3"/>
      <c r="M288" s="3"/>
      <c r="N288" s="3"/>
      <c r="O288" s="3"/>
      <c r="P288" s="3"/>
      <c r="Q288" s="3"/>
      <c r="R288" s="3"/>
      <c r="S288" s="3"/>
      <c r="T288" s="3"/>
      <c r="U288" s="3"/>
      <c r="V288" s="3"/>
      <c r="W288" s="3"/>
      <c r="X288" s="3"/>
      <c r="Y288" s="3"/>
      <c r="Z288" s="3"/>
    </row>
    <row r="289" ht="15.75" customHeight="1">
      <c r="A289" s="3"/>
      <c r="B289" s="3"/>
      <c r="C289" s="7"/>
      <c r="D289" s="3"/>
      <c r="E289" s="3"/>
      <c r="F289" s="7"/>
      <c r="G289" s="4"/>
      <c r="H289" s="3"/>
      <c r="I289" s="3"/>
      <c r="J289" s="3"/>
      <c r="K289" s="3"/>
      <c r="L289" s="3"/>
      <c r="M289" s="3"/>
      <c r="N289" s="3"/>
      <c r="O289" s="3"/>
      <c r="P289" s="3"/>
      <c r="Q289" s="3"/>
      <c r="R289" s="3"/>
      <c r="S289" s="3"/>
      <c r="T289" s="3"/>
      <c r="U289" s="3"/>
      <c r="V289" s="3"/>
      <c r="W289" s="3"/>
      <c r="X289" s="3"/>
      <c r="Y289" s="3"/>
      <c r="Z289" s="3"/>
    </row>
    <row r="290" ht="15.75" customHeight="1">
      <c r="A290" s="3"/>
      <c r="B290" s="3"/>
      <c r="C290" s="7"/>
      <c r="D290" s="3"/>
      <c r="E290" s="3"/>
      <c r="F290" s="7"/>
      <c r="G290" s="4"/>
      <c r="H290" s="3"/>
      <c r="I290" s="3"/>
      <c r="J290" s="3"/>
      <c r="K290" s="3"/>
      <c r="L290" s="3"/>
      <c r="M290" s="3"/>
      <c r="N290" s="3"/>
      <c r="O290" s="3"/>
      <c r="P290" s="3"/>
      <c r="Q290" s="3"/>
      <c r="R290" s="3"/>
      <c r="S290" s="3"/>
      <c r="T290" s="3"/>
      <c r="U290" s="3"/>
      <c r="V290" s="3"/>
      <c r="W290" s="3"/>
      <c r="X290" s="3"/>
      <c r="Y290" s="3"/>
      <c r="Z290" s="3"/>
    </row>
    <row r="291" ht="15.75" customHeight="1">
      <c r="A291" s="3"/>
      <c r="B291" s="3"/>
      <c r="C291" s="7"/>
      <c r="D291" s="3"/>
      <c r="E291" s="3"/>
      <c r="F291" s="7"/>
      <c r="G291" s="4"/>
      <c r="H291" s="3"/>
      <c r="I291" s="3"/>
      <c r="J291" s="3"/>
      <c r="K291" s="3"/>
      <c r="L291" s="3"/>
      <c r="M291" s="3"/>
      <c r="N291" s="3"/>
      <c r="O291" s="3"/>
      <c r="P291" s="3"/>
      <c r="Q291" s="3"/>
      <c r="R291" s="3"/>
      <c r="S291" s="3"/>
      <c r="T291" s="3"/>
      <c r="U291" s="3"/>
      <c r="V291" s="3"/>
      <c r="W291" s="3"/>
      <c r="X291" s="3"/>
      <c r="Y291" s="3"/>
      <c r="Z291" s="3"/>
    </row>
    <row r="292" ht="15.75" customHeight="1">
      <c r="A292" s="3"/>
      <c r="B292" s="3"/>
      <c r="C292" s="7"/>
      <c r="D292" s="3"/>
      <c r="E292" s="3"/>
      <c r="F292" s="7"/>
      <c r="G292" s="4"/>
      <c r="H292" s="3"/>
      <c r="I292" s="3"/>
      <c r="J292" s="3"/>
      <c r="K292" s="3"/>
      <c r="L292" s="3"/>
      <c r="M292" s="3"/>
      <c r="N292" s="3"/>
      <c r="O292" s="3"/>
      <c r="P292" s="3"/>
      <c r="Q292" s="3"/>
      <c r="R292" s="3"/>
      <c r="S292" s="3"/>
      <c r="T292" s="3"/>
      <c r="U292" s="3"/>
      <c r="V292" s="3"/>
      <c r="W292" s="3"/>
      <c r="X292" s="3"/>
      <c r="Y292" s="3"/>
      <c r="Z292" s="3"/>
    </row>
    <row r="293" ht="15.75" customHeight="1">
      <c r="A293" s="3"/>
      <c r="B293" s="3"/>
      <c r="C293" s="7"/>
      <c r="D293" s="3"/>
      <c r="E293" s="3"/>
      <c r="F293" s="7"/>
      <c r="G293" s="4"/>
      <c r="H293" s="3"/>
      <c r="I293" s="3"/>
      <c r="J293" s="3"/>
      <c r="K293" s="3"/>
      <c r="L293" s="3"/>
      <c r="M293" s="3"/>
      <c r="N293" s="3"/>
      <c r="O293" s="3"/>
      <c r="P293" s="3"/>
      <c r="Q293" s="3"/>
      <c r="R293" s="3"/>
      <c r="S293" s="3"/>
      <c r="T293" s="3"/>
      <c r="U293" s="3"/>
      <c r="V293" s="3"/>
      <c r="W293" s="3"/>
      <c r="X293" s="3"/>
      <c r="Y293" s="3"/>
      <c r="Z293" s="3"/>
    </row>
    <row r="294" ht="15.75" customHeight="1">
      <c r="A294" s="3"/>
      <c r="B294" s="3"/>
      <c r="C294" s="7"/>
      <c r="D294" s="3"/>
      <c r="E294" s="3"/>
      <c r="F294" s="7"/>
      <c r="G294" s="4"/>
      <c r="H294" s="3"/>
      <c r="I294" s="3"/>
      <c r="J294" s="3"/>
      <c r="K294" s="3"/>
      <c r="L294" s="3"/>
      <c r="M294" s="3"/>
      <c r="N294" s="3"/>
      <c r="O294" s="3"/>
      <c r="P294" s="3"/>
      <c r="Q294" s="3"/>
      <c r="R294" s="3"/>
      <c r="S294" s="3"/>
      <c r="T294" s="3"/>
      <c r="U294" s="3"/>
      <c r="V294" s="3"/>
      <c r="W294" s="3"/>
      <c r="X294" s="3"/>
      <c r="Y294" s="3"/>
      <c r="Z294" s="3"/>
    </row>
    <row r="295" ht="15.75" customHeight="1">
      <c r="A295" s="3"/>
      <c r="B295" s="3"/>
      <c r="C295" s="7"/>
      <c r="D295" s="3"/>
      <c r="E295" s="3"/>
      <c r="F295" s="7"/>
      <c r="G295" s="4"/>
      <c r="H295" s="3"/>
      <c r="I295" s="3"/>
      <c r="J295" s="3"/>
      <c r="K295" s="3"/>
      <c r="L295" s="3"/>
      <c r="M295" s="3"/>
      <c r="N295" s="3"/>
      <c r="O295" s="3"/>
      <c r="P295" s="3"/>
      <c r="Q295" s="3"/>
      <c r="R295" s="3"/>
      <c r="S295" s="3"/>
      <c r="T295" s="3"/>
      <c r="U295" s="3"/>
      <c r="V295" s="3"/>
      <c r="W295" s="3"/>
      <c r="X295" s="3"/>
      <c r="Y295" s="3"/>
      <c r="Z295" s="3"/>
    </row>
    <row r="296" ht="15.75" customHeight="1">
      <c r="A296" s="3"/>
      <c r="B296" s="3"/>
      <c r="C296" s="7"/>
      <c r="D296" s="3"/>
      <c r="E296" s="3"/>
      <c r="F296" s="7"/>
      <c r="G296" s="4"/>
      <c r="H296" s="3"/>
      <c r="I296" s="3"/>
      <c r="J296" s="3"/>
      <c r="K296" s="3"/>
      <c r="L296" s="3"/>
      <c r="M296" s="3"/>
      <c r="N296" s="3"/>
      <c r="O296" s="3"/>
      <c r="P296" s="3"/>
      <c r="Q296" s="3"/>
      <c r="R296" s="3"/>
      <c r="S296" s="3"/>
      <c r="T296" s="3"/>
      <c r="U296" s="3"/>
      <c r="V296" s="3"/>
      <c r="W296" s="3"/>
      <c r="X296" s="3"/>
      <c r="Y296" s="3"/>
      <c r="Z296" s="3"/>
    </row>
    <row r="297" ht="15.75" customHeight="1">
      <c r="A297" s="3"/>
      <c r="B297" s="3"/>
      <c r="C297" s="7"/>
      <c r="D297" s="3"/>
      <c r="E297" s="3"/>
      <c r="F297" s="7"/>
      <c r="G297" s="4"/>
      <c r="H297" s="3"/>
      <c r="I297" s="3"/>
      <c r="J297" s="3"/>
      <c r="K297" s="3"/>
      <c r="L297" s="3"/>
      <c r="M297" s="3"/>
      <c r="N297" s="3"/>
      <c r="O297" s="3"/>
      <c r="P297" s="3"/>
      <c r="Q297" s="3"/>
      <c r="R297" s="3"/>
      <c r="S297" s="3"/>
      <c r="T297" s="3"/>
      <c r="U297" s="3"/>
      <c r="V297" s="3"/>
      <c r="W297" s="3"/>
      <c r="X297" s="3"/>
      <c r="Y297" s="3"/>
      <c r="Z297" s="3"/>
    </row>
    <row r="298" ht="15.75" customHeight="1">
      <c r="A298" s="3"/>
      <c r="B298" s="3"/>
      <c r="C298" s="7"/>
      <c r="D298" s="3"/>
      <c r="E298" s="3"/>
      <c r="F298" s="7"/>
      <c r="G298" s="4"/>
      <c r="H298" s="3"/>
      <c r="I298" s="3"/>
      <c r="J298" s="3"/>
      <c r="K298" s="3"/>
      <c r="L298" s="3"/>
      <c r="M298" s="3"/>
      <c r="N298" s="3"/>
      <c r="O298" s="3"/>
      <c r="P298" s="3"/>
      <c r="Q298" s="3"/>
      <c r="R298" s="3"/>
      <c r="S298" s="3"/>
      <c r="T298" s="3"/>
      <c r="U298" s="3"/>
      <c r="V298" s="3"/>
      <c r="W298" s="3"/>
      <c r="X298" s="3"/>
      <c r="Y298" s="3"/>
      <c r="Z298" s="3"/>
    </row>
    <row r="299" ht="15.75" customHeight="1">
      <c r="A299" s="3"/>
      <c r="B299" s="3"/>
      <c r="C299" s="7"/>
      <c r="D299" s="3"/>
      <c r="E299" s="3"/>
      <c r="F299" s="7"/>
      <c r="G299" s="4"/>
      <c r="H299" s="3"/>
      <c r="I299" s="3"/>
      <c r="J299" s="3"/>
      <c r="K299" s="3"/>
      <c r="L299" s="3"/>
      <c r="M299" s="3"/>
      <c r="N299" s="3"/>
      <c r="O299" s="3"/>
      <c r="P299" s="3"/>
      <c r="Q299" s="3"/>
      <c r="R299" s="3"/>
      <c r="S299" s="3"/>
      <c r="T299" s="3"/>
      <c r="U299" s="3"/>
      <c r="V299" s="3"/>
      <c r="W299" s="3"/>
      <c r="X299" s="3"/>
      <c r="Y299" s="3"/>
      <c r="Z299" s="3"/>
    </row>
    <row r="300" ht="15.75" customHeight="1">
      <c r="A300" s="3"/>
      <c r="B300" s="3"/>
      <c r="C300" s="7"/>
      <c r="D300" s="3"/>
      <c r="E300" s="3"/>
      <c r="F300" s="7"/>
      <c r="G300" s="4"/>
      <c r="H300" s="3"/>
      <c r="I300" s="3"/>
      <c r="J300" s="3"/>
      <c r="K300" s="3"/>
      <c r="L300" s="3"/>
      <c r="M300" s="3"/>
      <c r="N300" s="3"/>
      <c r="O300" s="3"/>
      <c r="P300" s="3"/>
      <c r="Q300" s="3"/>
      <c r="R300" s="3"/>
      <c r="S300" s="3"/>
      <c r="T300" s="3"/>
      <c r="U300" s="3"/>
      <c r="V300" s="3"/>
      <c r="W300" s="3"/>
      <c r="X300" s="3"/>
      <c r="Y300" s="3"/>
      <c r="Z300" s="3"/>
    </row>
    <row r="301" ht="15.75" customHeight="1">
      <c r="A301" s="3"/>
      <c r="B301" s="3"/>
      <c r="C301" s="7"/>
      <c r="D301" s="3"/>
      <c r="E301" s="3"/>
      <c r="F301" s="7"/>
      <c r="G301" s="4"/>
      <c r="H301" s="3"/>
      <c r="I301" s="3"/>
      <c r="J301" s="3"/>
      <c r="K301" s="3"/>
      <c r="L301" s="3"/>
      <c r="M301" s="3"/>
      <c r="N301" s="3"/>
      <c r="O301" s="3"/>
      <c r="P301" s="3"/>
      <c r="Q301" s="3"/>
      <c r="R301" s="3"/>
      <c r="S301" s="3"/>
      <c r="T301" s="3"/>
      <c r="U301" s="3"/>
      <c r="V301" s="3"/>
      <c r="W301" s="3"/>
      <c r="X301" s="3"/>
      <c r="Y301" s="3"/>
      <c r="Z301" s="3"/>
    </row>
    <row r="302" ht="15.75" customHeight="1">
      <c r="A302" s="3"/>
      <c r="B302" s="3"/>
      <c r="C302" s="7"/>
      <c r="D302" s="3"/>
      <c r="E302" s="3"/>
      <c r="F302" s="7"/>
      <c r="G302" s="4"/>
      <c r="H302" s="3"/>
      <c r="I302" s="3"/>
      <c r="J302" s="3"/>
      <c r="K302" s="3"/>
      <c r="L302" s="3"/>
      <c r="M302" s="3"/>
      <c r="N302" s="3"/>
      <c r="O302" s="3"/>
      <c r="P302" s="3"/>
      <c r="Q302" s="3"/>
      <c r="R302" s="3"/>
      <c r="S302" s="3"/>
      <c r="T302" s="3"/>
      <c r="U302" s="3"/>
      <c r="V302" s="3"/>
      <c r="W302" s="3"/>
      <c r="X302" s="3"/>
      <c r="Y302" s="3"/>
      <c r="Z302" s="3"/>
    </row>
    <row r="303" ht="15.75" customHeight="1">
      <c r="A303" s="3"/>
      <c r="B303" s="3"/>
      <c r="C303" s="7"/>
      <c r="D303" s="3"/>
      <c r="E303" s="3"/>
      <c r="F303" s="7"/>
      <c r="G303" s="4"/>
      <c r="H303" s="3"/>
      <c r="I303" s="3"/>
      <c r="J303" s="3"/>
      <c r="K303" s="3"/>
      <c r="L303" s="3"/>
      <c r="M303" s="3"/>
      <c r="N303" s="3"/>
      <c r="O303" s="3"/>
      <c r="P303" s="3"/>
      <c r="Q303" s="3"/>
      <c r="R303" s="3"/>
      <c r="S303" s="3"/>
      <c r="T303" s="3"/>
      <c r="U303" s="3"/>
      <c r="V303" s="3"/>
      <c r="W303" s="3"/>
      <c r="X303" s="3"/>
      <c r="Y303" s="3"/>
      <c r="Z303" s="3"/>
    </row>
    <row r="304" ht="15.75" customHeight="1">
      <c r="A304" s="3"/>
      <c r="B304" s="3"/>
      <c r="C304" s="7"/>
      <c r="D304" s="3"/>
      <c r="E304" s="3"/>
      <c r="F304" s="7"/>
      <c r="G304" s="4"/>
      <c r="H304" s="3"/>
      <c r="I304" s="3"/>
      <c r="J304" s="3"/>
      <c r="K304" s="3"/>
      <c r="L304" s="3"/>
      <c r="M304" s="3"/>
      <c r="N304" s="3"/>
      <c r="O304" s="3"/>
      <c r="P304" s="3"/>
      <c r="Q304" s="3"/>
      <c r="R304" s="3"/>
      <c r="S304" s="3"/>
      <c r="T304" s="3"/>
      <c r="U304" s="3"/>
      <c r="V304" s="3"/>
      <c r="W304" s="3"/>
      <c r="X304" s="3"/>
      <c r="Y304" s="3"/>
      <c r="Z304" s="3"/>
    </row>
    <row r="305" ht="15.75" customHeight="1">
      <c r="A305" s="3"/>
      <c r="B305" s="3"/>
      <c r="C305" s="7"/>
      <c r="D305" s="3"/>
      <c r="E305" s="3"/>
      <c r="F305" s="7"/>
      <c r="G305" s="4"/>
      <c r="H305" s="3"/>
      <c r="I305" s="3"/>
      <c r="J305" s="3"/>
      <c r="K305" s="3"/>
      <c r="L305" s="3"/>
      <c r="M305" s="3"/>
      <c r="N305" s="3"/>
      <c r="O305" s="3"/>
      <c r="P305" s="3"/>
      <c r="Q305" s="3"/>
      <c r="R305" s="3"/>
      <c r="S305" s="3"/>
      <c r="T305" s="3"/>
      <c r="U305" s="3"/>
      <c r="V305" s="3"/>
      <c r="W305" s="3"/>
      <c r="X305" s="3"/>
      <c r="Y305" s="3"/>
      <c r="Z305" s="3"/>
    </row>
    <row r="306" ht="15.75" customHeight="1">
      <c r="A306" s="3"/>
      <c r="B306" s="3"/>
      <c r="C306" s="7"/>
      <c r="D306" s="3"/>
      <c r="E306" s="3"/>
      <c r="F306" s="7"/>
      <c r="G306" s="4"/>
      <c r="H306" s="3"/>
      <c r="I306" s="3"/>
      <c r="J306" s="3"/>
      <c r="K306" s="3"/>
      <c r="L306" s="3"/>
      <c r="M306" s="3"/>
      <c r="N306" s="3"/>
      <c r="O306" s="3"/>
      <c r="P306" s="3"/>
      <c r="Q306" s="3"/>
      <c r="R306" s="3"/>
      <c r="S306" s="3"/>
      <c r="T306" s="3"/>
      <c r="U306" s="3"/>
      <c r="V306" s="3"/>
      <c r="W306" s="3"/>
      <c r="X306" s="3"/>
      <c r="Y306" s="3"/>
      <c r="Z306" s="3"/>
    </row>
    <row r="307" ht="15.75" customHeight="1">
      <c r="A307" s="3"/>
      <c r="B307" s="3"/>
      <c r="C307" s="7"/>
      <c r="D307" s="3"/>
      <c r="E307" s="3"/>
      <c r="F307" s="7"/>
      <c r="G307" s="4"/>
      <c r="H307" s="3"/>
      <c r="I307" s="3"/>
      <c r="J307" s="3"/>
      <c r="K307" s="3"/>
      <c r="L307" s="3"/>
      <c r="M307" s="3"/>
      <c r="N307" s="3"/>
      <c r="O307" s="3"/>
      <c r="P307" s="3"/>
      <c r="Q307" s="3"/>
      <c r="R307" s="3"/>
      <c r="S307" s="3"/>
      <c r="T307" s="3"/>
      <c r="U307" s="3"/>
      <c r="V307" s="3"/>
      <c r="W307" s="3"/>
      <c r="X307" s="3"/>
      <c r="Y307" s="3"/>
      <c r="Z307" s="3"/>
    </row>
    <row r="308" ht="15.75" customHeight="1">
      <c r="A308" s="3"/>
      <c r="B308" s="3"/>
      <c r="C308" s="7"/>
      <c r="D308" s="3"/>
      <c r="E308" s="3"/>
      <c r="F308" s="7"/>
      <c r="G308" s="4"/>
      <c r="H308" s="3"/>
      <c r="I308" s="3"/>
      <c r="J308" s="3"/>
      <c r="K308" s="3"/>
      <c r="L308" s="3"/>
      <c r="M308" s="3"/>
      <c r="N308" s="3"/>
      <c r="O308" s="3"/>
      <c r="P308" s="3"/>
      <c r="Q308" s="3"/>
      <c r="R308" s="3"/>
      <c r="S308" s="3"/>
      <c r="T308" s="3"/>
      <c r="U308" s="3"/>
      <c r="V308" s="3"/>
      <c r="W308" s="3"/>
      <c r="X308" s="3"/>
      <c r="Y308" s="3"/>
      <c r="Z308" s="3"/>
    </row>
    <row r="309" ht="15.75" customHeight="1">
      <c r="A309" s="3"/>
      <c r="B309" s="3"/>
      <c r="C309" s="7"/>
      <c r="D309" s="3"/>
      <c r="E309" s="3"/>
      <c r="F309" s="7"/>
      <c r="G309" s="4"/>
      <c r="H309" s="3"/>
      <c r="I309" s="3"/>
      <c r="J309" s="3"/>
      <c r="K309" s="3"/>
      <c r="L309" s="3"/>
      <c r="M309" s="3"/>
      <c r="N309" s="3"/>
      <c r="O309" s="3"/>
      <c r="P309" s="3"/>
      <c r="Q309" s="3"/>
      <c r="R309" s="3"/>
      <c r="S309" s="3"/>
      <c r="T309" s="3"/>
      <c r="U309" s="3"/>
      <c r="V309" s="3"/>
      <c r="W309" s="3"/>
      <c r="X309" s="3"/>
      <c r="Y309" s="3"/>
      <c r="Z309" s="3"/>
    </row>
    <row r="310" ht="15.75" customHeight="1">
      <c r="A310" s="3"/>
      <c r="B310" s="3"/>
      <c r="C310" s="7"/>
      <c r="D310" s="3"/>
      <c r="E310" s="3"/>
      <c r="F310" s="7"/>
      <c r="G310" s="4"/>
      <c r="H310" s="3"/>
      <c r="I310" s="3"/>
      <c r="J310" s="3"/>
      <c r="K310" s="3"/>
      <c r="L310" s="3"/>
      <c r="M310" s="3"/>
      <c r="N310" s="3"/>
      <c r="O310" s="3"/>
      <c r="P310" s="3"/>
      <c r="Q310" s="3"/>
      <c r="R310" s="3"/>
      <c r="S310" s="3"/>
      <c r="T310" s="3"/>
      <c r="U310" s="3"/>
      <c r="V310" s="3"/>
      <c r="W310" s="3"/>
      <c r="X310" s="3"/>
      <c r="Y310" s="3"/>
      <c r="Z310" s="3"/>
    </row>
    <row r="311" ht="15.75" customHeight="1">
      <c r="A311" s="3"/>
      <c r="B311" s="3"/>
      <c r="C311" s="7"/>
      <c r="D311" s="3"/>
      <c r="E311" s="3"/>
      <c r="F311" s="7"/>
      <c r="G311" s="4"/>
      <c r="H311" s="3"/>
      <c r="I311" s="3"/>
      <c r="J311" s="3"/>
      <c r="K311" s="3"/>
      <c r="L311" s="3"/>
      <c r="M311" s="3"/>
      <c r="N311" s="3"/>
      <c r="O311" s="3"/>
      <c r="P311" s="3"/>
      <c r="Q311" s="3"/>
      <c r="R311" s="3"/>
      <c r="S311" s="3"/>
      <c r="T311" s="3"/>
      <c r="U311" s="3"/>
      <c r="V311" s="3"/>
      <c r="W311" s="3"/>
      <c r="X311" s="3"/>
      <c r="Y311" s="3"/>
      <c r="Z311" s="3"/>
    </row>
    <row r="312" ht="15.75" customHeight="1">
      <c r="A312" s="3"/>
      <c r="B312" s="3"/>
      <c r="C312" s="7"/>
      <c r="D312" s="3"/>
      <c r="E312" s="3"/>
      <c r="F312" s="7"/>
      <c r="G312" s="4"/>
      <c r="H312" s="3"/>
      <c r="I312" s="3"/>
      <c r="J312" s="3"/>
      <c r="K312" s="3"/>
      <c r="L312" s="3"/>
      <c r="M312" s="3"/>
      <c r="N312" s="3"/>
      <c r="O312" s="3"/>
      <c r="P312" s="3"/>
      <c r="Q312" s="3"/>
      <c r="R312" s="3"/>
      <c r="S312" s="3"/>
      <c r="T312" s="3"/>
      <c r="U312" s="3"/>
      <c r="V312" s="3"/>
      <c r="W312" s="3"/>
      <c r="X312" s="3"/>
      <c r="Y312" s="3"/>
      <c r="Z312" s="3"/>
    </row>
    <row r="313" ht="15.75" customHeight="1">
      <c r="A313" s="3"/>
      <c r="B313" s="3"/>
      <c r="C313" s="7"/>
      <c r="D313" s="3"/>
      <c r="E313" s="3"/>
      <c r="F313" s="7"/>
      <c r="G313" s="4"/>
      <c r="H313" s="3"/>
      <c r="I313" s="3"/>
      <c r="J313" s="3"/>
      <c r="K313" s="3"/>
      <c r="L313" s="3"/>
      <c r="M313" s="3"/>
      <c r="N313" s="3"/>
      <c r="O313" s="3"/>
      <c r="P313" s="3"/>
      <c r="Q313" s="3"/>
      <c r="R313" s="3"/>
      <c r="S313" s="3"/>
      <c r="T313" s="3"/>
      <c r="U313" s="3"/>
      <c r="V313" s="3"/>
      <c r="W313" s="3"/>
      <c r="X313" s="3"/>
      <c r="Y313" s="3"/>
      <c r="Z313" s="3"/>
    </row>
    <row r="314" ht="15.75" customHeight="1">
      <c r="A314" s="3"/>
      <c r="B314" s="3"/>
      <c r="C314" s="7"/>
      <c r="D314" s="3"/>
      <c r="E314" s="3"/>
      <c r="F314" s="7"/>
      <c r="G314" s="4"/>
      <c r="H314" s="3"/>
      <c r="I314" s="3"/>
      <c r="J314" s="3"/>
      <c r="K314" s="3"/>
      <c r="L314" s="3"/>
      <c r="M314" s="3"/>
      <c r="N314" s="3"/>
      <c r="O314" s="3"/>
      <c r="P314" s="3"/>
      <c r="Q314" s="3"/>
      <c r="R314" s="3"/>
      <c r="S314" s="3"/>
      <c r="T314" s="3"/>
      <c r="U314" s="3"/>
      <c r="V314" s="3"/>
      <c r="W314" s="3"/>
      <c r="X314" s="3"/>
      <c r="Y314" s="3"/>
      <c r="Z314" s="3"/>
    </row>
    <row r="315" ht="15.75" customHeight="1">
      <c r="A315" s="3"/>
      <c r="B315" s="3"/>
      <c r="C315" s="7"/>
      <c r="D315" s="3"/>
      <c r="E315" s="3"/>
      <c r="F315" s="7"/>
      <c r="G315" s="4"/>
      <c r="H315" s="3"/>
      <c r="I315" s="3"/>
      <c r="J315" s="3"/>
      <c r="K315" s="3"/>
      <c r="L315" s="3"/>
      <c r="M315" s="3"/>
      <c r="N315" s="3"/>
      <c r="O315" s="3"/>
      <c r="P315" s="3"/>
      <c r="Q315" s="3"/>
      <c r="R315" s="3"/>
      <c r="S315" s="3"/>
      <c r="T315" s="3"/>
      <c r="U315" s="3"/>
      <c r="V315" s="3"/>
      <c r="W315" s="3"/>
      <c r="X315" s="3"/>
      <c r="Y315" s="3"/>
      <c r="Z315" s="3"/>
    </row>
    <row r="316" ht="15.75" customHeight="1">
      <c r="A316" s="3"/>
      <c r="B316" s="3"/>
      <c r="C316" s="7"/>
      <c r="D316" s="3"/>
      <c r="E316" s="3"/>
      <c r="F316" s="7"/>
      <c r="G316" s="4"/>
      <c r="H316" s="3"/>
      <c r="I316" s="3"/>
      <c r="J316" s="3"/>
      <c r="K316" s="3"/>
      <c r="L316" s="3"/>
      <c r="M316" s="3"/>
      <c r="N316" s="3"/>
      <c r="O316" s="3"/>
      <c r="P316" s="3"/>
      <c r="Q316" s="3"/>
      <c r="R316" s="3"/>
      <c r="S316" s="3"/>
      <c r="T316" s="3"/>
      <c r="U316" s="3"/>
      <c r="V316" s="3"/>
      <c r="W316" s="3"/>
      <c r="X316" s="3"/>
      <c r="Y316" s="3"/>
      <c r="Z316" s="3"/>
    </row>
    <row r="317" ht="15.75" customHeight="1">
      <c r="A317" s="3"/>
      <c r="B317" s="3"/>
      <c r="C317" s="7"/>
      <c r="D317" s="3"/>
      <c r="E317" s="3"/>
      <c r="F317" s="7"/>
      <c r="G317" s="4"/>
      <c r="H317" s="3"/>
      <c r="I317" s="3"/>
      <c r="J317" s="3"/>
      <c r="K317" s="3"/>
      <c r="L317" s="3"/>
      <c r="M317" s="3"/>
      <c r="N317" s="3"/>
      <c r="O317" s="3"/>
      <c r="P317" s="3"/>
      <c r="Q317" s="3"/>
      <c r="R317" s="3"/>
      <c r="S317" s="3"/>
      <c r="T317" s="3"/>
      <c r="U317" s="3"/>
      <c r="V317" s="3"/>
      <c r="W317" s="3"/>
      <c r="X317" s="3"/>
      <c r="Y317" s="3"/>
      <c r="Z317" s="3"/>
    </row>
    <row r="318" ht="15.75" customHeight="1">
      <c r="A318" s="3"/>
      <c r="B318" s="3"/>
      <c r="C318" s="7"/>
      <c r="D318" s="3"/>
      <c r="E318" s="3"/>
      <c r="F318" s="7"/>
      <c r="G318" s="4"/>
      <c r="H318" s="3"/>
      <c r="I318" s="3"/>
      <c r="J318" s="3"/>
      <c r="K318" s="3"/>
      <c r="L318" s="3"/>
      <c r="M318" s="3"/>
      <c r="N318" s="3"/>
      <c r="O318" s="3"/>
      <c r="P318" s="3"/>
      <c r="Q318" s="3"/>
      <c r="R318" s="3"/>
      <c r="S318" s="3"/>
      <c r="T318" s="3"/>
      <c r="U318" s="3"/>
      <c r="V318" s="3"/>
      <c r="W318" s="3"/>
      <c r="X318" s="3"/>
      <c r="Y318" s="3"/>
      <c r="Z318" s="3"/>
    </row>
    <row r="319" ht="15.75" customHeight="1">
      <c r="A319" s="3"/>
      <c r="B319" s="3"/>
      <c r="C319" s="7"/>
      <c r="D319" s="3"/>
      <c r="E319" s="3"/>
      <c r="F319" s="7"/>
      <c r="G319" s="4"/>
      <c r="H319" s="3"/>
      <c r="I319" s="3"/>
      <c r="J319" s="3"/>
      <c r="K319" s="3"/>
      <c r="L319" s="3"/>
      <c r="M319" s="3"/>
      <c r="N319" s="3"/>
      <c r="O319" s="3"/>
      <c r="P319" s="3"/>
      <c r="Q319" s="3"/>
      <c r="R319" s="3"/>
      <c r="S319" s="3"/>
      <c r="T319" s="3"/>
      <c r="U319" s="3"/>
      <c r="V319" s="3"/>
      <c r="W319" s="3"/>
      <c r="X319" s="3"/>
      <c r="Y319" s="3"/>
      <c r="Z319" s="3"/>
    </row>
    <row r="320" ht="15.75" customHeight="1">
      <c r="A320" s="3"/>
      <c r="B320" s="3"/>
      <c r="C320" s="7"/>
      <c r="D320" s="3"/>
      <c r="E320" s="3"/>
      <c r="F320" s="7"/>
      <c r="G320" s="4"/>
      <c r="H320" s="3"/>
      <c r="I320" s="3"/>
      <c r="J320" s="3"/>
      <c r="K320" s="3"/>
      <c r="L320" s="3"/>
      <c r="M320" s="3"/>
      <c r="N320" s="3"/>
      <c r="O320" s="3"/>
      <c r="P320" s="3"/>
      <c r="Q320" s="3"/>
      <c r="R320" s="3"/>
      <c r="S320" s="3"/>
      <c r="T320" s="3"/>
      <c r="U320" s="3"/>
      <c r="V320" s="3"/>
      <c r="W320" s="3"/>
      <c r="X320" s="3"/>
      <c r="Y320" s="3"/>
      <c r="Z320" s="3"/>
    </row>
    <row r="321" ht="15.75" customHeight="1">
      <c r="A321" s="3"/>
      <c r="B321" s="3"/>
      <c r="C321" s="7"/>
      <c r="D321" s="3"/>
      <c r="E321" s="3"/>
      <c r="F321" s="7"/>
      <c r="G321" s="4"/>
      <c r="H321" s="3"/>
      <c r="I321" s="3"/>
      <c r="J321" s="3"/>
      <c r="K321" s="3"/>
      <c r="L321" s="3"/>
      <c r="M321" s="3"/>
      <c r="N321" s="3"/>
      <c r="O321" s="3"/>
      <c r="P321" s="3"/>
      <c r="Q321" s="3"/>
      <c r="R321" s="3"/>
      <c r="S321" s="3"/>
      <c r="T321" s="3"/>
      <c r="U321" s="3"/>
      <c r="V321" s="3"/>
      <c r="W321" s="3"/>
      <c r="X321" s="3"/>
      <c r="Y321" s="3"/>
      <c r="Z321" s="3"/>
    </row>
    <row r="322" ht="15.75" customHeight="1">
      <c r="A322" s="3"/>
      <c r="B322" s="3"/>
      <c r="C322" s="7"/>
      <c r="D322" s="3"/>
      <c r="E322" s="3"/>
      <c r="F322" s="7"/>
      <c r="G322" s="4"/>
      <c r="H322" s="3"/>
      <c r="I322" s="3"/>
      <c r="J322" s="3"/>
      <c r="K322" s="3"/>
      <c r="L322" s="3"/>
      <c r="M322" s="3"/>
      <c r="N322" s="3"/>
      <c r="O322" s="3"/>
      <c r="P322" s="3"/>
      <c r="Q322" s="3"/>
      <c r="R322" s="3"/>
      <c r="S322" s="3"/>
      <c r="T322" s="3"/>
      <c r="U322" s="3"/>
      <c r="V322" s="3"/>
      <c r="W322" s="3"/>
      <c r="X322" s="3"/>
      <c r="Y322" s="3"/>
      <c r="Z322" s="3"/>
    </row>
    <row r="323" ht="15.75" customHeight="1">
      <c r="A323" s="3"/>
      <c r="B323" s="3"/>
      <c r="C323" s="7"/>
      <c r="D323" s="3"/>
      <c r="E323" s="3"/>
      <c r="F323" s="7"/>
      <c r="G323" s="4"/>
      <c r="H323" s="3"/>
      <c r="I323" s="3"/>
      <c r="J323" s="3"/>
      <c r="K323" s="3"/>
      <c r="L323" s="3"/>
      <c r="M323" s="3"/>
      <c r="N323" s="3"/>
      <c r="O323" s="3"/>
      <c r="P323" s="3"/>
      <c r="Q323" s="3"/>
      <c r="R323" s="3"/>
      <c r="S323" s="3"/>
      <c r="T323" s="3"/>
      <c r="U323" s="3"/>
      <c r="V323" s="3"/>
      <c r="W323" s="3"/>
      <c r="X323" s="3"/>
      <c r="Y323" s="3"/>
      <c r="Z323" s="3"/>
    </row>
    <row r="324" ht="15.75" customHeight="1">
      <c r="A324" s="3"/>
      <c r="B324" s="3"/>
      <c r="C324" s="7"/>
      <c r="D324" s="3"/>
      <c r="E324" s="3"/>
      <c r="F324" s="7"/>
      <c r="G324" s="4"/>
      <c r="H324" s="3"/>
      <c r="I324" s="3"/>
      <c r="J324" s="3"/>
      <c r="K324" s="3"/>
      <c r="L324" s="3"/>
      <c r="M324" s="3"/>
      <c r="N324" s="3"/>
      <c r="O324" s="3"/>
      <c r="P324" s="3"/>
      <c r="Q324" s="3"/>
      <c r="R324" s="3"/>
      <c r="S324" s="3"/>
      <c r="T324" s="3"/>
      <c r="U324" s="3"/>
      <c r="V324" s="3"/>
      <c r="W324" s="3"/>
      <c r="X324" s="3"/>
      <c r="Y324" s="3"/>
      <c r="Z324" s="3"/>
    </row>
    <row r="325" ht="15.75" customHeight="1">
      <c r="A325" s="3"/>
      <c r="B325" s="3"/>
      <c r="C325" s="7"/>
      <c r="D325" s="3"/>
      <c r="E325" s="3"/>
      <c r="F325" s="7"/>
      <c r="G325" s="4"/>
      <c r="H325" s="3"/>
      <c r="I325" s="3"/>
      <c r="J325" s="3"/>
      <c r="K325" s="3"/>
      <c r="L325" s="3"/>
      <c r="M325" s="3"/>
      <c r="N325" s="3"/>
      <c r="O325" s="3"/>
      <c r="P325" s="3"/>
      <c r="Q325" s="3"/>
      <c r="R325" s="3"/>
      <c r="S325" s="3"/>
      <c r="T325" s="3"/>
      <c r="U325" s="3"/>
      <c r="V325" s="3"/>
      <c r="W325" s="3"/>
      <c r="X325" s="3"/>
      <c r="Y325" s="3"/>
      <c r="Z325" s="3"/>
    </row>
    <row r="326" ht="15.75" customHeight="1">
      <c r="A326" s="3"/>
      <c r="B326" s="3"/>
      <c r="C326" s="7"/>
      <c r="D326" s="3"/>
      <c r="E326" s="3"/>
      <c r="F326" s="7"/>
      <c r="G326" s="4"/>
      <c r="H326" s="3"/>
      <c r="I326" s="3"/>
      <c r="J326" s="3"/>
      <c r="K326" s="3"/>
      <c r="L326" s="3"/>
      <c r="M326" s="3"/>
      <c r="N326" s="3"/>
      <c r="O326" s="3"/>
      <c r="P326" s="3"/>
      <c r="Q326" s="3"/>
      <c r="R326" s="3"/>
      <c r="S326" s="3"/>
      <c r="T326" s="3"/>
      <c r="U326" s="3"/>
      <c r="V326" s="3"/>
      <c r="W326" s="3"/>
      <c r="X326" s="3"/>
      <c r="Y326" s="3"/>
      <c r="Z326" s="3"/>
    </row>
    <row r="327" ht="15.75" customHeight="1">
      <c r="A327" s="3"/>
      <c r="B327" s="3"/>
      <c r="C327" s="7"/>
      <c r="D327" s="3"/>
      <c r="E327" s="3"/>
      <c r="F327" s="7"/>
      <c r="G327" s="4"/>
      <c r="H327" s="3"/>
      <c r="I327" s="3"/>
      <c r="J327" s="3"/>
      <c r="K327" s="3"/>
      <c r="L327" s="3"/>
      <c r="M327" s="3"/>
      <c r="N327" s="3"/>
      <c r="O327" s="3"/>
      <c r="P327" s="3"/>
      <c r="Q327" s="3"/>
      <c r="R327" s="3"/>
      <c r="S327" s="3"/>
      <c r="T327" s="3"/>
      <c r="U327" s="3"/>
      <c r="V327" s="3"/>
      <c r="W327" s="3"/>
      <c r="X327" s="3"/>
      <c r="Y327" s="3"/>
      <c r="Z327" s="3"/>
    </row>
    <row r="328" ht="15.75" customHeight="1">
      <c r="A328" s="3"/>
      <c r="B328" s="3"/>
      <c r="C328" s="7"/>
      <c r="D328" s="3"/>
      <c r="E328" s="3"/>
      <c r="F328" s="7"/>
      <c r="G328" s="4"/>
      <c r="H328" s="3"/>
      <c r="I328" s="3"/>
      <c r="J328" s="3"/>
      <c r="K328" s="3"/>
      <c r="L328" s="3"/>
      <c r="M328" s="3"/>
      <c r="N328" s="3"/>
      <c r="O328" s="3"/>
      <c r="P328" s="3"/>
      <c r="Q328" s="3"/>
      <c r="R328" s="3"/>
      <c r="S328" s="3"/>
      <c r="T328" s="3"/>
      <c r="U328" s="3"/>
      <c r="V328" s="3"/>
      <c r="W328" s="3"/>
      <c r="X328" s="3"/>
      <c r="Y328" s="3"/>
      <c r="Z328" s="3"/>
    </row>
    <row r="329" ht="15.75" customHeight="1">
      <c r="A329" s="3"/>
      <c r="B329" s="3"/>
      <c r="C329" s="7"/>
      <c r="D329" s="3"/>
      <c r="E329" s="3"/>
      <c r="F329" s="7"/>
      <c r="G329" s="4"/>
      <c r="H329" s="3"/>
      <c r="I329" s="3"/>
      <c r="J329" s="3"/>
      <c r="K329" s="3"/>
      <c r="L329" s="3"/>
      <c r="M329" s="3"/>
      <c r="N329" s="3"/>
      <c r="O329" s="3"/>
      <c r="P329" s="3"/>
      <c r="Q329" s="3"/>
      <c r="R329" s="3"/>
      <c r="S329" s="3"/>
      <c r="T329" s="3"/>
      <c r="U329" s="3"/>
      <c r="V329" s="3"/>
      <c r="W329" s="3"/>
      <c r="X329" s="3"/>
      <c r="Y329" s="3"/>
      <c r="Z329" s="3"/>
    </row>
    <row r="330" ht="15.75" customHeight="1">
      <c r="A330" s="3"/>
      <c r="B330" s="3"/>
      <c r="C330" s="7"/>
      <c r="D330" s="3"/>
      <c r="E330" s="3"/>
      <c r="F330" s="7"/>
      <c r="G330" s="4"/>
      <c r="H330" s="3"/>
      <c r="I330" s="3"/>
      <c r="J330" s="3"/>
      <c r="K330" s="3"/>
      <c r="L330" s="3"/>
      <c r="M330" s="3"/>
      <c r="N330" s="3"/>
      <c r="O330" s="3"/>
      <c r="P330" s="3"/>
      <c r="Q330" s="3"/>
      <c r="R330" s="3"/>
      <c r="S330" s="3"/>
      <c r="T330" s="3"/>
      <c r="U330" s="3"/>
      <c r="V330" s="3"/>
      <c r="W330" s="3"/>
      <c r="X330" s="3"/>
      <c r="Y330" s="3"/>
      <c r="Z330" s="3"/>
    </row>
    <row r="331" ht="15.75" customHeight="1">
      <c r="A331" s="3"/>
      <c r="B331" s="3"/>
      <c r="C331" s="7"/>
      <c r="D331" s="3"/>
      <c r="E331" s="3"/>
      <c r="F331" s="7"/>
      <c r="G331" s="4"/>
      <c r="H331" s="3"/>
      <c r="I331" s="3"/>
      <c r="J331" s="3"/>
      <c r="K331" s="3"/>
      <c r="L331" s="3"/>
      <c r="M331" s="3"/>
      <c r="N331" s="3"/>
      <c r="O331" s="3"/>
      <c r="P331" s="3"/>
      <c r="Q331" s="3"/>
      <c r="R331" s="3"/>
      <c r="S331" s="3"/>
      <c r="T331" s="3"/>
      <c r="U331" s="3"/>
      <c r="V331" s="3"/>
      <c r="W331" s="3"/>
      <c r="X331" s="3"/>
      <c r="Y331" s="3"/>
      <c r="Z331" s="3"/>
    </row>
    <row r="332" ht="15.75" customHeight="1">
      <c r="A332" s="3"/>
      <c r="B332" s="3"/>
      <c r="C332" s="7"/>
      <c r="D332" s="3"/>
      <c r="E332" s="3"/>
      <c r="F332" s="7"/>
      <c r="G332" s="4"/>
      <c r="H332" s="3"/>
      <c r="I332" s="3"/>
      <c r="J332" s="3"/>
      <c r="K332" s="3"/>
      <c r="L332" s="3"/>
      <c r="M332" s="3"/>
      <c r="N332" s="3"/>
      <c r="O332" s="3"/>
      <c r="P332" s="3"/>
      <c r="Q332" s="3"/>
      <c r="R332" s="3"/>
      <c r="S332" s="3"/>
      <c r="T332" s="3"/>
      <c r="U332" s="3"/>
      <c r="V332" s="3"/>
      <c r="W332" s="3"/>
      <c r="X332" s="3"/>
      <c r="Y332" s="3"/>
      <c r="Z332" s="3"/>
    </row>
    <row r="333" ht="15.75" customHeight="1">
      <c r="A333" s="3"/>
      <c r="B333" s="3"/>
      <c r="C333" s="7"/>
      <c r="D333" s="3"/>
      <c r="E333" s="3"/>
      <c r="F333" s="7"/>
      <c r="G333" s="4"/>
      <c r="H333" s="3"/>
      <c r="I333" s="3"/>
      <c r="J333" s="3"/>
      <c r="K333" s="3"/>
      <c r="L333" s="3"/>
      <c r="M333" s="3"/>
      <c r="N333" s="3"/>
      <c r="O333" s="3"/>
      <c r="P333" s="3"/>
      <c r="Q333" s="3"/>
      <c r="R333" s="3"/>
      <c r="S333" s="3"/>
      <c r="T333" s="3"/>
      <c r="U333" s="3"/>
      <c r="V333" s="3"/>
      <c r="W333" s="3"/>
      <c r="X333" s="3"/>
      <c r="Y333" s="3"/>
      <c r="Z333" s="3"/>
    </row>
    <row r="334" ht="15.75" customHeight="1">
      <c r="A334" s="3"/>
      <c r="B334" s="3"/>
      <c r="C334" s="7"/>
      <c r="D334" s="3"/>
      <c r="E334" s="3"/>
      <c r="F334" s="7"/>
      <c r="G334" s="4"/>
      <c r="H334" s="3"/>
      <c r="I334" s="3"/>
      <c r="J334" s="3"/>
      <c r="K334" s="3"/>
      <c r="L334" s="3"/>
      <c r="M334" s="3"/>
      <c r="N334" s="3"/>
      <c r="O334" s="3"/>
      <c r="P334" s="3"/>
      <c r="Q334" s="3"/>
      <c r="R334" s="3"/>
      <c r="S334" s="3"/>
      <c r="T334" s="3"/>
      <c r="U334" s="3"/>
      <c r="V334" s="3"/>
      <c r="W334" s="3"/>
      <c r="X334" s="3"/>
      <c r="Y334" s="3"/>
      <c r="Z334" s="3"/>
    </row>
    <row r="335" ht="15.75" customHeight="1">
      <c r="A335" s="3"/>
      <c r="B335" s="3"/>
      <c r="C335" s="7"/>
      <c r="D335" s="3"/>
      <c r="E335" s="3"/>
      <c r="F335" s="7"/>
      <c r="G335" s="4"/>
      <c r="H335" s="3"/>
      <c r="I335" s="3"/>
      <c r="J335" s="3"/>
      <c r="K335" s="3"/>
      <c r="L335" s="3"/>
      <c r="M335" s="3"/>
      <c r="N335" s="3"/>
      <c r="O335" s="3"/>
      <c r="P335" s="3"/>
      <c r="Q335" s="3"/>
      <c r="R335" s="3"/>
      <c r="S335" s="3"/>
      <c r="T335" s="3"/>
      <c r="U335" s="3"/>
      <c r="V335" s="3"/>
      <c r="W335" s="3"/>
      <c r="X335" s="3"/>
      <c r="Y335" s="3"/>
      <c r="Z335" s="3"/>
    </row>
    <row r="336" ht="15.75" customHeight="1">
      <c r="A336" s="3"/>
      <c r="B336" s="3"/>
      <c r="C336" s="7"/>
      <c r="D336" s="3"/>
      <c r="E336" s="3"/>
      <c r="F336" s="7"/>
      <c r="G336" s="4"/>
      <c r="H336" s="3"/>
      <c r="I336" s="3"/>
      <c r="J336" s="3"/>
      <c r="K336" s="3"/>
      <c r="L336" s="3"/>
      <c r="M336" s="3"/>
      <c r="N336" s="3"/>
      <c r="O336" s="3"/>
      <c r="P336" s="3"/>
      <c r="Q336" s="3"/>
      <c r="R336" s="3"/>
      <c r="S336" s="3"/>
      <c r="T336" s="3"/>
      <c r="U336" s="3"/>
      <c r="V336" s="3"/>
      <c r="W336" s="3"/>
      <c r="X336" s="3"/>
      <c r="Y336" s="3"/>
      <c r="Z336" s="3"/>
    </row>
    <row r="337" ht="15.75" customHeight="1">
      <c r="A337" s="3"/>
      <c r="B337" s="3"/>
      <c r="C337" s="7"/>
      <c r="D337" s="3"/>
      <c r="E337" s="3"/>
      <c r="F337" s="7"/>
      <c r="G337" s="4"/>
      <c r="H337" s="3"/>
      <c r="I337" s="3"/>
      <c r="J337" s="3"/>
      <c r="K337" s="3"/>
      <c r="L337" s="3"/>
      <c r="M337" s="3"/>
      <c r="N337" s="3"/>
      <c r="O337" s="3"/>
      <c r="P337" s="3"/>
      <c r="Q337" s="3"/>
      <c r="R337" s="3"/>
      <c r="S337" s="3"/>
      <c r="T337" s="3"/>
      <c r="U337" s="3"/>
      <c r="V337" s="3"/>
      <c r="W337" s="3"/>
      <c r="X337" s="3"/>
      <c r="Y337" s="3"/>
      <c r="Z337" s="3"/>
    </row>
    <row r="338" ht="15.75" customHeight="1">
      <c r="A338" s="3"/>
      <c r="B338" s="3"/>
      <c r="C338" s="7"/>
      <c r="D338" s="3"/>
      <c r="E338" s="3"/>
      <c r="F338" s="7"/>
      <c r="G338" s="4"/>
      <c r="H338" s="3"/>
      <c r="I338" s="3"/>
      <c r="J338" s="3"/>
      <c r="K338" s="3"/>
      <c r="L338" s="3"/>
      <c r="M338" s="3"/>
      <c r="N338" s="3"/>
      <c r="O338" s="3"/>
      <c r="P338" s="3"/>
      <c r="Q338" s="3"/>
      <c r="R338" s="3"/>
      <c r="S338" s="3"/>
      <c r="T338" s="3"/>
      <c r="U338" s="3"/>
      <c r="V338" s="3"/>
      <c r="W338" s="3"/>
      <c r="X338" s="3"/>
      <c r="Y338" s="3"/>
      <c r="Z338" s="3"/>
    </row>
    <row r="339" ht="15.75" customHeight="1">
      <c r="A339" s="3"/>
      <c r="B339" s="3"/>
      <c r="C339" s="7"/>
      <c r="D339" s="3"/>
      <c r="E339" s="3"/>
      <c r="F339" s="7"/>
      <c r="G339" s="4"/>
      <c r="H339" s="3"/>
      <c r="I339" s="3"/>
      <c r="J339" s="3"/>
      <c r="K339" s="3"/>
      <c r="L339" s="3"/>
      <c r="M339" s="3"/>
      <c r="N339" s="3"/>
      <c r="O339" s="3"/>
      <c r="P339" s="3"/>
      <c r="Q339" s="3"/>
      <c r="R339" s="3"/>
      <c r="S339" s="3"/>
      <c r="T339" s="3"/>
      <c r="U339" s="3"/>
      <c r="V339" s="3"/>
      <c r="W339" s="3"/>
      <c r="X339" s="3"/>
      <c r="Y339" s="3"/>
      <c r="Z339" s="3"/>
    </row>
    <row r="340" ht="15.75" customHeight="1">
      <c r="A340" s="3"/>
      <c r="B340" s="3"/>
      <c r="C340" s="7"/>
      <c r="D340" s="3"/>
      <c r="E340" s="3"/>
      <c r="F340" s="7"/>
      <c r="G340" s="4"/>
      <c r="H340" s="3"/>
      <c r="I340" s="3"/>
      <c r="J340" s="3"/>
      <c r="K340" s="3"/>
      <c r="L340" s="3"/>
      <c r="M340" s="3"/>
      <c r="N340" s="3"/>
      <c r="O340" s="3"/>
      <c r="P340" s="3"/>
      <c r="Q340" s="3"/>
      <c r="R340" s="3"/>
      <c r="S340" s="3"/>
      <c r="T340" s="3"/>
      <c r="U340" s="3"/>
      <c r="V340" s="3"/>
      <c r="W340" s="3"/>
      <c r="X340" s="3"/>
      <c r="Y340" s="3"/>
      <c r="Z340" s="3"/>
    </row>
    <row r="341" ht="15.75" customHeight="1">
      <c r="A341" s="3"/>
      <c r="B341" s="3"/>
      <c r="C341" s="7"/>
      <c r="D341" s="3"/>
      <c r="E341" s="3"/>
      <c r="F341" s="7"/>
      <c r="G341" s="4"/>
      <c r="H341" s="3"/>
      <c r="I341" s="3"/>
      <c r="J341" s="3"/>
      <c r="K341" s="3"/>
      <c r="L341" s="3"/>
      <c r="M341" s="3"/>
      <c r="N341" s="3"/>
      <c r="O341" s="3"/>
      <c r="P341" s="3"/>
      <c r="Q341" s="3"/>
      <c r="R341" s="3"/>
      <c r="S341" s="3"/>
      <c r="T341" s="3"/>
      <c r="U341" s="3"/>
      <c r="V341" s="3"/>
      <c r="W341" s="3"/>
      <c r="X341" s="3"/>
      <c r="Y341" s="3"/>
      <c r="Z341" s="3"/>
    </row>
    <row r="342" ht="15.75" customHeight="1">
      <c r="A342" s="3"/>
      <c r="B342" s="3"/>
      <c r="C342" s="7"/>
      <c r="D342" s="3"/>
      <c r="E342" s="3"/>
      <c r="F342" s="7"/>
      <c r="G342" s="4"/>
      <c r="H342" s="3"/>
      <c r="I342" s="3"/>
      <c r="J342" s="3"/>
      <c r="K342" s="3"/>
      <c r="L342" s="3"/>
      <c r="M342" s="3"/>
      <c r="N342" s="3"/>
      <c r="O342" s="3"/>
      <c r="P342" s="3"/>
      <c r="Q342" s="3"/>
      <c r="R342" s="3"/>
      <c r="S342" s="3"/>
      <c r="T342" s="3"/>
      <c r="U342" s="3"/>
      <c r="V342" s="3"/>
      <c r="W342" s="3"/>
      <c r="X342" s="3"/>
      <c r="Y342" s="3"/>
      <c r="Z342" s="3"/>
    </row>
    <row r="343" ht="15.75" customHeight="1">
      <c r="A343" s="3"/>
      <c r="B343" s="3"/>
      <c r="C343" s="7"/>
      <c r="D343" s="3"/>
      <c r="E343" s="3"/>
      <c r="F343" s="7"/>
      <c r="G343" s="4"/>
      <c r="H343" s="3"/>
      <c r="I343" s="3"/>
      <c r="J343" s="3"/>
      <c r="K343" s="3"/>
      <c r="L343" s="3"/>
      <c r="M343" s="3"/>
      <c r="N343" s="3"/>
      <c r="O343" s="3"/>
      <c r="P343" s="3"/>
      <c r="Q343" s="3"/>
      <c r="R343" s="3"/>
      <c r="S343" s="3"/>
      <c r="T343" s="3"/>
      <c r="U343" s="3"/>
      <c r="V343" s="3"/>
      <c r="W343" s="3"/>
      <c r="X343" s="3"/>
      <c r="Y343" s="3"/>
      <c r="Z343" s="3"/>
    </row>
    <row r="344" ht="15.75" customHeight="1">
      <c r="A344" s="3"/>
      <c r="B344" s="3"/>
      <c r="C344" s="7"/>
      <c r="D344" s="3"/>
      <c r="E344" s="3"/>
      <c r="F344" s="7"/>
      <c r="G344" s="4"/>
      <c r="H344" s="3"/>
      <c r="I344" s="3"/>
      <c r="J344" s="3"/>
      <c r="K344" s="3"/>
      <c r="L344" s="3"/>
      <c r="M344" s="3"/>
      <c r="N344" s="3"/>
      <c r="O344" s="3"/>
      <c r="P344" s="3"/>
      <c r="Q344" s="3"/>
      <c r="R344" s="3"/>
      <c r="S344" s="3"/>
      <c r="T344" s="3"/>
      <c r="U344" s="3"/>
      <c r="V344" s="3"/>
      <c r="W344" s="3"/>
      <c r="X344" s="3"/>
      <c r="Y344" s="3"/>
      <c r="Z344" s="3"/>
    </row>
    <row r="345" ht="15.75" customHeight="1">
      <c r="A345" s="3"/>
      <c r="B345" s="3"/>
      <c r="C345" s="7"/>
      <c r="D345" s="3"/>
      <c r="E345" s="3"/>
      <c r="F345" s="7"/>
      <c r="G345" s="4"/>
      <c r="H345" s="3"/>
      <c r="I345" s="3"/>
      <c r="J345" s="3"/>
      <c r="K345" s="3"/>
      <c r="L345" s="3"/>
      <c r="M345" s="3"/>
      <c r="N345" s="3"/>
      <c r="O345" s="3"/>
      <c r="P345" s="3"/>
      <c r="Q345" s="3"/>
      <c r="R345" s="3"/>
      <c r="S345" s="3"/>
      <c r="T345" s="3"/>
      <c r="U345" s="3"/>
      <c r="V345" s="3"/>
      <c r="W345" s="3"/>
      <c r="X345" s="3"/>
      <c r="Y345" s="3"/>
      <c r="Z345" s="3"/>
    </row>
    <row r="346" ht="15.75" customHeight="1">
      <c r="A346" s="3"/>
      <c r="B346" s="3"/>
      <c r="C346" s="7"/>
      <c r="D346" s="3"/>
      <c r="E346" s="3"/>
      <c r="F346" s="7"/>
      <c r="G346" s="4"/>
      <c r="H346" s="3"/>
      <c r="I346" s="3"/>
      <c r="J346" s="3"/>
      <c r="K346" s="3"/>
      <c r="L346" s="3"/>
      <c r="M346" s="3"/>
      <c r="N346" s="3"/>
      <c r="O346" s="3"/>
      <c r="P346" s="3"/>
      <c r="Q346" s="3"/>
      <c r="R346" s="3"/>
      <c r="S346" s="3"/>
      <c r="T346" s="3"/>
      <c r="U346" s="3"/>
      <c r="V346" s="3"/>
      <c r="W346" s="3"/>
      <c r="X346" s="3"/>
      <c r="Y346" s="3"/>
      <c r="Z346" s="3"/>
    </row>
    <row r="347" ht="15.75" customHeight="1">
      <c r="A347" s="3"/>
      <c r="B347" s="3"/>
      <c r="C347" s="7"/>
      <c r="D347" s="3"/>
      <c r="E347" s="3"/>
      <c r="F347" s="7"/>
      <c r="G347" s="4"/>
      <c r="H347" s="3"/>
      <c r="I347" s="3"/>
      <c r="J347" s="3"/>
      <c r="K347" s="3"/>
      <c r="L347" s="3"/>
      <c r="M347" s="3"/>
      <c r="N347" s="3"/>
      <c r="O347" s="3"/>
      <c r="P347" s="3"/>
      <c r="Q347" s="3"/>
      <c r="R347" s="3"/>
      <c r="S347" s="3"/>
      <c r="T347" s="3"/>
      <c r="U347" s="3"/>
      <c r="V347" s="3"/>
      <c r="W347" s="3"/>
      <c r="X347" s="3"/>
      <c r="Y347" s="3"/>
      <c r="Z347" s="3"/>
    </row>
    <row r="348" ht="15.75" customHeight="1">
      <c r="A348" s="3"/>
      <c r="B348" s="3"/>
      <c r="C348" s="7"/>
      <c r="D348" s="3"/>
      <c r="E348" s="3"/>
      <c r="F348" s="7"/>
      <c r="G348" s="4"/>
      <c r="H348" s="3"/>
      <c r="I348" s="3"/>
      <c r="J348" s="3"/>
      <c r="K348" s="3"/>
      <c r="L348" s="3"/>
      <c r="M348" s="3"/>
      <c r="N348" s="3"/>
      <c r="O348" s="3"/>
      <c r="P348" s="3"/>
      <c r="Q348" s="3"/>
      <c r="R348" s="3"/>
      <c r="S348" s="3"/>
      <c r="T348" s="3"/>
      <c r="U348" s="3"/>
      <c r="V348" s="3"/>
      <c r="W348" s="3"/>
      <c r="X348" s="3"/>
      <c r="Y348" s="3"/>
      <c r="Z348" s="3"/>
    </row>
    <row r="349" ht="15.75" customHeight="1">
      <c r="A349" s="3"/>
      <c r="B349" s="3"/>
      <c r="C349" s="7"/>
      <c r="D349" s="3"/>
      <c r="E349" s="3"/>
      <c r="F349" s="7"/>
      <c r="G349" s="4"/>
      <c r="H349" s="3"/>
      <c r="I349" s="3"/>
      <c r="J349" s="3"/>
      <c r="K349" s="3"/>
      <c r="L349" s="3"/>
      <c r="M349" s="3"/>
      <c r="N349" s="3"/>
      <c r="O349" s="3"/>
      <c r="P349" s="3"/>
      <c r="Q349" s="3"/>
      <c r="R349" s="3"/>
      <c r="S349" s="3"/>
      <c r="T349" s="3"/>
      <c r="U349" s="3"/>
      <c r="V349" s="3"/>
      <c r="W349" s="3"/>
      <c r="X349" s="3"/>
      <c r="Y349" s="3"/>
      <c r="Z349" s="3"/>
    </row>
    <row r="350" ht="15.75" customHeight="1">
      <c r="A350" s="3"/>
      <c r="B350" s="3"/>
      <c r="C350" s="7"/>
      <c r="D350" s="3"/>
      <c r="E350" s="3"/>
      <c r="F350" s="7"/>
      <c r="G350" s="4"/>
      <c r="H350" s="3"/>
      <c r="I350" s="3"/>
      <c r="J350" s="3"/>
      <c r="K350" s="3"/>
      <c r="L350" s="3"/>
      <c r="M350" s="3"/>
      <c r="N350" s="3"/>
      <c r="O350" s="3"/>
      <c r="P350" s="3"/>
      <c r="Q350" s="3"/>
      <c r="R350" s="3"/>
      <c r="S350" s="3"/>
      <c r="T350" s="3"/>
      <c r="U350" s="3"/>
      <c r="V350" s="3"/>
      <c r="W350" s="3"/>
      <c r="X350" s="3"/>
      <c r="Y350" s="3"/>
      <c r="Z350" s="3"/>
    </row>
    <row r="351" ht="15.75" customHeight="1">
      <c r="A351" s="3"/>
      <c r="B351" s="3"/>
      <c r="C351" s="7"/>
      <c r="D351" s="3"/>
      <c r="E351" s="3"/>
      <c r="F351" s="7"/>
      <c r="G351" s="4"/>
      <c r="H351" s="3"/>
      <c r="I351" s="3"/>
      <c r="J351" s="3"/>
      <c r="K351" s="3"/>
      <c r="L351" s="3"/>
      <c r="M351" s="3"/>
      <c r="N351" s="3"/>
      <c r="O351" s="3"/>
      <c r="P351" s="3"/>
      <c r="Q351" s="3"/>
      <c r="R351" s="3"/>
      <c r="S351" s="3"/>
      <c r="T351" s="3"/>
      <c r="U351" s="3"/>
      <c r="V351" s="3"/>
      <c r="W351" s="3"/>
      <c r="X351" s="3"/>
      <c r="Y351" s="3"/>
      <c r="Z351" s="3"/>
    </row>
    <row r="352" ht="15.75" customHeight="1">
      <c r="A352" s="3"/>
      <c r="B352" s="3"/>
      <c r="C352" s="7"/>
      <c r="D352" s="3"/>
      <c r="E352" s="3"/>
      <c r="F352" s="7"/>
      <c r="G352" s="4"/>
      <c r="H352" s="3"/>
      <c r="I352" s="3"/>
      <c r="J352" s="3"/>
      <c r="K352" s="3"/>
      <c r="L352" s="3"/>
      <c r="M352" s="3"/>
      <c r="N352" s="3"/>
      <c r="O352" s="3"/>
      <c r="P352" s="3"/>
      <c r="Q352" s="3"/>
      <c r="R352" s="3"/>
      <c r="S352" s="3"/>
      <c r="T352" s="3"/>
      <c r="U352" s="3"/>
      <c r="V352" s="3"/>
      <c r="W352" s="3"/>
      <c r="X352" s="3"/>
      <c r="Y352" s="3"/>
      <c r="Z352" s="3"/>
    </row>
    <row r="353" ht="15.75" customHeight="1">
      <c r="A353" s="3"/>
      <c r="B353" s="3"/>
      <c r="C353" s="7"/>
      <c r="D353" s="3"/>
      <c r="E353" s="3"/>
      <c r="F353" s="7"/>
      <c r="G353" s="4"/>
      <c r="H353" s="3"/>
      <c r="I353" s="3"/>
      <c r="J353" s="3"/>
      <c r="K353" s="3"/>
      <c r="L353" s="3"/>
      <c r="M353" s="3"/>
      <c r="N353" s="3"/>
      <c r="O353" s="3"/>
      <c r="P353" s="3"/>
      <c r="Q353" s="3"/>
      <c r="R353" s="3"/>
      <c r="S353" s="3"/>
      <c r="T353" s="3"/>
      <c r="U353" s="3"/>
      <c r="V353" s="3"/>
      <c r="W353" s="3"/>
      <c r="X353" s="3"/>
      <c r="Y353" s="3"/>
      <c r="Z353" s="3"/>
    </row>
    <row r="354" ht="15.75" customHeight="1">
      <c r="A354" s="3"/>
      <c r="B354" s="3"/>
      <c r="C354" s="7"/>
      <c r="D354" s="3"/>
      <c r="E354" s="3"/>
      <c r="F354" s="7"/>
      <c r="G354" s="4"/>
      <c r="H354" s="3"/>
      <c r="I354" s="3"/>
      <c r="J354" s="3"/>
      <c r="K354" s="3"/>
      <c r="L354" s="3"/>
      <c r="M354" s="3"/>
      <c r="N354" s="3"/>
      <c r="O354" s="3"/>
      <c r="P354" s="3"/>
      <c r="Q354" s="3"/>
      <c r="R354" s="3"/>
      <c r="S354" s="3"/>
      <c r="T354" s="3"/>
      <c r="U354" s="3"/>
      <c r="V354" s="3"/>
      <c r="W354" s="3"/>
      <c r="X354" s="3"/>
      <c r="Y354" s="3"/>
      <c r="Z354" s="3"/>
    </row>
    <row r="355" ht="15.75" customHeight="1">
      <c r="A355" s="3"/>
      <c r="B355" s="3"/>
      <c r="C355" s="7"/>
      <c r="D355" s="3"/>
      <c r="E355" s="3"/>
      <c r="F355" s="7"/>
      <c r="G355" s="4"/>
      <c r="H355" s="3"/>
      <c r="I355" s="3"/>
      <c r="J355" s="3"/>
      <c r="K355" s="3"/>
      <c r="L355" s="3"/>
      <c r="M355" s="3"/>
      <c r="N355" s="3"/>
      <c r="O355" s="3"/>
      <c r="P355" s="3"/>
      <c r="Q355" s="3"/>
      <c r="R355" s="3"/>
      <c r="S355" s="3"/>
      <c r="T355" s="3"/>
      <c r="U355" s="3"/>
      <c r="V355" s="3"/>
      <c r="W355" s="3"/>
      <c r="X355" s="3"/>
      <c r="Y355" s="3"/>
      <c r="Z355" s="3"/>
    </row>
    <row r="356" ht="15.75" customHeight="1">
      <c r="A356" s="3"/>
      <c r="B356" s="3"/>
      <c r="C356" s="7"/>
      <c r="D356" s="3"/>
      <c r="E356" s="3"/>
      <c r="F356" s="7"/>
      <c r="G356" s="4"/>
      <c r="H356" s="3"/>
      <c r="I356" s="3"/>
      <c r="J356" s="3"/>
      <c r="K356" s="3"/>
      <c r="L356" s="3"/>
      <c r="M356" s="3"/>
      <c r="N356" s="3"/>
      <c r="O356" s="3"/>
      <c r="P356" s="3"/>
      <c r="Q356" s="3"/>
      <c r="R356" s="3"/>
      <c r="S356" s="3"/>
      <c r="T356" s="3"/>
      <c r="U356" s="3"/>
      <c r="V356" s="3"/>
      <c r="W356" s="3"/>
      <c r="X356" s="3"/>
      <c r="Y356" s="3"/>
      <c r="Z356" s="3"/>
    </row>
    <row r="357" ht="15.75" customHeight="1">
      <c r="A357" s="3"/>
      <c r="B357" s="3"/>
      <c r="C357" s="7"/>
      <c r="D357" s="3"/>
      <c r="E357" s="3"/>
      <c r="F357" s="7"/>
      <c r="G357" s="4"/>
      <c r="H357" s="3"/>
      <c r="I357" s="3"/>
      <c r="J357" s="3"/>
      <c r="K357" s="3"/>
      <c r="L357" s="3"/>
      <c r="M357" s="3"/>
      <c r="N357" s="3"/>
      <c r="O357" s="3"/>
      <c r="P357" s="3"/>
      <c r="Q357" s="3"/>
      <c r="R357" s="3"/>
      <c r="S357" s="3"/>
      <c r="T357" s="3"/>
      <c r="U357" s="3"/>
      <c r="V357" s="3"/>
      <c r="W357" s="3"/>
      <c r="X357" s="3"/>
      <c r="Y357" s="3"/>
      <c r="Z357" s="3"/>
    </row>
    <row r="358" ht="15.75" customHeight="1">
      <c r="A358" s="3"/>
      <c r="B358" s="3"/>
      <c r="C358" s="7"/>
      <c r="D358" s="3"/>
      <c r="E358" s="3"/>
      <c r="F358" s="7"/>
      <c r="G358" s="4"/>
      <c r="H358" s="3"/>
      <c r="I358" s="3"/>
      <c r="J358" s="3"/>
      <c r="K358" s="3"/>
      <c r="L358" s="3"/>
      <c r="M358" s="3"/>
      <c r="N358" s="3"/>
      <c r="O358" s="3"/>
      <c r="P358" s="3"/>
      <c r="Q358" s="3"/>
      <c r="R358" s="3"/>
      <c r="S358" s="3"/>
      <c r="T358" s="3"/>
      <c r="U358" s="3"/>
      <c r="V358" s="3"/>
      <c r="W358" s="3"/>
      <c r="X358" s="3"/>
      <c r="Y358" s="3"/>
      <c r="Z358" s="3"/>
    </row>
    <row r="359" ht="15.75" customHeight="1">
      <c r="A359" s="3"/>
      <c r="B359" s="3"/>
      <c r="C359" s="7"/>
      <c r="D359" s="3"/>
      <c r="E359" s="3"/>
      <c r="F359" s="7"/>
      <c r="G359" s="4"/>
      <c r="H359" s="3"/>
      <c r="I359" s="3"/>
      <c r="J359" s="3"/>
      <c r="K359" s="3"/>
      <c r="L359" s="3"/>
      <c r="M359" s="3"/>
      <c r="N359" s="3"/>
      <c r="O359" s="3"/>
      <c r="P359" s="3"/>
      <c r="Q359" s="3"/>
      <c r="R359" s="3"/>
      <c r="S359" s="3"/>
      <c r="T359" s="3"/>
      <c r="U359" s="3"/>
      <c r="V359" s="3"/>
      <c r="W359" s="3"/>
      <c r="X359" s="3"/>
      <c r="Y359" s="3"/>
      <c r="Z359" s="3"/>
    </row>
    <row r="360" ht="15.75" customHeight="1">
      <c r="A360" s="3"/>
      <c r="B360" s="3"/>
      <c r="C360" s="7"/>
      <c r="D360" s="3"/>
      <c r="E360" s="3"/>
      <c r="F360" s="7"/>
      <c r="G360" s="4"/>
      <c r="H360" s="3"/>
      <c r="I360" s="3"/>
      <c r="J360" s="3"/>
      <c r="K360" s="3"/>
      <c r="L360" s="3"/>
      <c r="M360" s="3"/>
      <c r="N360" s="3"/>
      <c r="O360" s="3"/>
      <c r="P360" s="3"/>
      <c r="Q360" s="3"/>
      <c r="R360" s="3"/>
      <c r="S360" s="3"/>
      <c r="T360" s="3"/>
      <c r="U360" s="3"/>
      <c r="V360" s="3"/>
      <c r="W360" s="3"/>
      <c r="X360" s="3"/>
      <c r="Y360" s="3"/>
      <c r="Z360" s="3"/>
    </row>
    <row r="361" ht="15.75" customHeight="1">
      <c r="A361" s="3"/>
      <c r="B361" s="3"/>
      <c r="C361" s="7"/>
      <c r="D361" s="3"/>
      <c r="E361" s="3"/>
      <c r="F361" s="7"/>
      <c r="G361" s="4"/>
      <c r="H361" s="3"/>
      <c r="I361" s="3"/>
      <c r="J361" s="3"/>
      <c r="K361" s="3"/>
      <c r="L361" s="3"/>
      <c r="M361" s="3"/>
      <c r="N361" s="3"/>
      <c r="O361" s="3"/>
      <c r="P361" s="3"/>
      <c r="Q361" s="3"/>
      <c r="R361" s="3"/>
      <c r="S361" s="3"/>
      <c r="T361" s="3"/>
      <c r="U361" s="3"/>
      <c r="V361" s="3"/>
      <c r="W361" s="3"/>
      <c r="X361" s="3"/>
      <c r="Y361" s="3"/>
      <c r="Z361" s="3"/>
    </row>
    <row r="362" ht="15.75" customHeight="1">
      <c r="A362" s="3"/>
      <c r="B362" s="3"/>
      <c r="C362" s="7"/>
      <c r="D362" s="3"/>
      <c r="E362" s="3"/>
      <c r="F362" s="7"/>
      <c r="G362" s="4"/>
      <c r="H362" s="3"/>
      <c r="I362" s="3"/>
      <c r="J362" s="3"/>
      <c r="K362" s="3"/>
      <c r="L362" s="3"/>
      <c r="M362" s="3"/>
      <c r="N362" s="3"/>
      <c r="O362" s="3"/>
      <c r="P362" s="3"/>
      <c r="Q362" s="3"/>
      <c r="R362" s="3"/>
      <c r="S362" s="3"/>
      <c r="T362" s="3"/>
      <c r="U362" s="3"/>
      <c r="V362" s="3"/>
      <c r="W362" s="3"/>
      <c r="X362" s="3"/>
      <c r="Y362" s="3"/>
      <c r="Z362" s="3"/>
    </row>
    <row r="363" ht="15.75" customHeight="1">
      <c r="A363" s="3"/>
      <c r="B363" s="3"/>
      <c r="C363" s="7"/>
      <c r="D363" s="3"/>
      <c r="E363" s="3"/>
      <c r="F363" s="7"/>
      <c r="G363" s="4"/>
      <c r="H363" s="3"/>
      <c r="I363" s="3"/>
      <c r="J363" s="3"/>
      <c r="K363" s="3"/>
      <c r="L363" s="3"/>
      <c r="M363" s="3"/>
      <c r="N363" s="3"/>
      <c r="O363" s="3"/>
      <c r="P363" s="3"/>
      <c r="Q363" s="3"/>
      <c r="R363" s="3"/>
      <c r="S363" s="3"/>
      <c r="T363" s="3"/>
      <c r="U363" s="3"/>
      <c r="V363" s="3"/>
      <c r="W363" s="3"/>
      <c r="X363" s="3"/>
      <c r="Y363" s="3"/>
      <c r="Z363" s="3"/>
    </row>
    <row r="364" ht="15.75" customHeight="1">
      <c r="A364" s="3"/>
      <c r="B364" s="3"/>
      <c r="C364" s="7"/>
      <c r="D364" s="3"/>
      <c r="E364" s="3"/>
      <c r="F364" s="7"/>
      <c r="G364" s="4"/>
      <c r="H364" s="3"/>
      <c r="I364" s="3"/>
      <c r="J364" s="3"/>
      <c r="K364" s="3"/>
      <c r="L364" s="3"/>
      <c r="M364" s="3"/>
      <c r="N364" s="3"/>
      <c r="O364" s="3"/>
      <c r="P364" s="3"/>
      <c r="Q364" s="3"/>
      <c r="R364" s="3"/>
      <c r="S364" s="3"/>
      <c r="T364" s="3"/>
      <c r="U364" s="3"/>
      <c r="V364" s="3"/>
      <c r="W364" s="3"/>
      <c r="X364" s="3"/>
      <c r="Y364" s="3"/>
      <c r="Z364" s="3"/>
    </row>
    <row r="365" ht="15.75" customHeight="1">
      <c r="A365" s="3"/>
      <c r="B365" s="3"/>
      <c r="C365" s="7"/>
      <c r="D365" s="3"/>
      <c r="E365" s="3"/>
      <c r="F365" s="7"/>
      <c r="G365" s="4"/>
      <c r="H365" s="3"/>
      <c r="I365" s="3"/>
      <c r="J365" s="3"/>
      <c r="K365" s="3"/>
      <c r="L365" s="3"/>
      <c r="M365" s="3"/>
      <c r="N365" s="3"/>
      <c r="O365" s="3"/>
      <c r="P365" s="3"/>
      <c r="Q365" s="3"/>
      <c r="R365" s="3"/>
      <c r="S365" s="3"/>
      <c r="T365" s="3"/>
      <c r="U365" s="3"/>
      <c r="V365" s="3"/>
      <c r="W365" s="3"/>
      <c r="X365" s="3"/>
      <c r="Y365" s="3"/>
      <c r="Z365" s="3"/>
    </row>
    <row r="366" ht="15.75" customHeight="1">
      <c r="A366" s="3"/>
      <c r="B366" s="3"/>
      <c r="C366" s="7"/>
      <c r="D366" s="3"/>
      <c r="E366" s="3"/>
      <c r="F366" s="7"/>
      <c r="G366" s="4"/>
      <c r="H366" s="3"/>
      <c r="I366" s="3"/>
      <c r="J366" s="3"/>
      <c r="K366" s="3"/>
      <c r="L366" s="3"/>
      <c r="M366" s="3"/>
      <c r="N366" s="3"/>
      <c r="O366" s="3"/>
      <c r="P366" s="3"/>
      <c r="Q366" s="3"/>
      <c r="R366" s="3"/>
      <c r="S366" s="3"/>
      <c r="T366" s="3"/>
      <c r="U366" s="3"/>
      <c r="V366" s="3"/>
      <c r="W366" s="3"/>
      <c r="X366" s="3"/>
      <c r="Y366" s="3"/>
      <c r="Z366" s="3"/>
    </row>
    <row r="367" ht="15.75" customHeight="1">
      <c r="A367" s="3"/>
      <c r="B367" s="3"/>
      <c r="C367" s="7"/>
      <c r="D367" s="3"/>
      <c r="E367" s="3"/>
      <c r="F367" s="7"/>
      <c r="G367" s="4"/>
      <c r="H367" s="3"/>
      <c r="I367" s="3"/>
      <c r="J367" s="3"/>
      <c r="K367" s="3"/>
      <c r="L367" s="3"/>
      <c r="M367" s="3"/>
      <c r="N367" s="3"/>
      <c r="O367" s="3"/>
      <c r="P367" s="3"/>
      <c r="Q367" s="3"/>
      <c r="R367" s="3"/>
      <c r="S367" s="3"/>
      <c r="T367" s="3"/>
      <c r="U367" s="3"/>
      <c r="V367" s="3"/>
      <c r="W367" s="3"/>
      <c r="X367" s="3"/>
      <c r="Y367" s="3"/>
      <c r="Z367" s="3"/>
    </row>
    <row r="368" ht="15.75" customHeight="1">
      <c r="A368" s="3"/>
      <c r="B368" s="3"/>
      <c r="C368" s="7"/>
      <c r="D368" s="3"/>
      <c r="E368" s="3"/>
      <c r="F368" s="7"/>
      <c r="G368" s="4"/>
      <c r="H368" s="3"/>
      <c r="I368" s="3"/>
      <c r="J368" s="3"/>
      <c r="K368" s="3"/>
      <c r="L368" s="3"/>
      <c r="M368" s="3"/>
      <c r="N368" s="3"/>
      <c r="O368" s="3"/>
      <c r="P368" s="3"/>
      <c r="Q368" s="3"/>
      <c r="R368" s="3"/>
      <c r="S368" s="3"/>
      <c r="T368" s="3"/>
      <c r="U368" s="3"/>
      <c r="V368" s="3"/>
      <c r="W368" s="3"/>
      <c r="X368" s="3"/>
      <c r="Y368" s="3"/>
      <c r="Z368" s="3"/>
    </row>
    <row r="369" ht="15.75" customHeight="1">
      <c r="A369" s="3"/>
      <c r="B369" s="3"/>
      <c r="C369" s="7"/>
      <c r="D369" s="3"/>
      <c r="E369" s="3"/>
      <c r="F369" s="7"/>
      <c r="G369" s="4"/>
      <c r="H369" s="3"/>
      <c r="I369" s="3"/>
      <c r="J369" s="3"/>
      <c r="K369" s="3"/>
      <c r="L369" s="3"/>
      <c r="M369" s="3"/>
      <c r="N369" s="3"/>
      <c r="O369" s="3"/>
      <c r="P369" s="3"/>
      <c r="Q369" s="3"/>
      <c r="R369" s="3"/>
      <c r="S369" s="3"/>
      <c r="T369" s="3"/>
      <c r="U369" s="3"/>
      <c r="V369" s="3"/>
      <c r="W369" s="3"/>
      <c r="X369" s="3"/>
      <c r="Y369" s="3"/>
      <c r="Z369" s="3"/>
    </row>
    <row r="370" ht="15.75" customHeight="1">
      <c r="A370" s="3"/>
      <c r="B370" s="3"/>
      <c r="C370" s="7"/>
      <c r="D370" s="3"/>
      <c r="E370" s="3"/>
      <c r="F370" s="7"/>
      <c r="G370" s="4"/>
      <c r="H370" s="3"/>
      <c r="I370" s="3"/>
      <c r="J370" s="3"/>
      <c r="K370" s="3"/>
      <c r="L370" s="3"/>
      <c r="M370" s="3"/>
      <c r="N370" s="3"/>
      <c r="O370" s="3"/>
      <c r="P370" s="3"/>
      <c r="Q370" s="3"/>
      <c r="R370" s="3"/>
      <c r="S370" s="3"/>
      <c r="T370" s="3"/>
      <c r="U370" s="3"/>
      <c r="V370" s="3"/>
      <c r="W370" s="3"/>
      <c r="X370" s="3"/>
      <c r="Y370" s="3"/>
      <c r="Z370" s="3"/>
    </row>
    <row r="371" ht="15.75" customHeight="1">
      <c r="A371" s="3"/>
      <c r="B371" s="3"/>
      <c r="C371" s="7"/>
      <c r="D371" s="3"/>
      <c r="E371" s="3"/>
      <c r="F371" s="7"/>
      <c r="G371" s="4"/>
      <c r="H371" s="3"/>
      <c r="I371" s="3"/>
      <c r="J371" s="3"/>
      <c r="K371" s="3"/>
      <c r="L371" s="3"/>
      <c r="M371" s="3"/>
      <c r="N371" s="3"/>
      <c r="O371" s="3"/>
      <c r="P371" s="3"/>
      <c r="Q371" s="3"/>
      <c r="R371" s="3"/>
      <c r="S371" s="3"/>
      <c r="T371" s="3"/>
      <c r="U371" s="3"/>
      <c r="V371" s="3"/>
      <c r="W371" s="3"/>
      <c r="X371" s="3"/>
      <c r="Y371" s="3"/>
      <c r="Z371" s="3"/>
    </row>
    <row r="372" ht="15.75" customHeight="1">
      <c r="A372" s="3"/>
      <c r="B372" s="3"/>
      <c r="C372" s="7"/>
      <c r="D372" s="3"/>
      <c r="E372" s="3"/>
      <c r="F372" s="7"/>
      <c r="G372" s="4"/>
      <c r="H372" s="3"/>
      <c r="I372" s="3"/>
      <c r="J372" s="3"/>
      <c r="K372" s="3"/>
      <c r="L372" s="3"/>
      <c r="M372" s="3"/>
      <c r="N372" s="3"/>
      <c r="O372" s="3"/>
      <c r="P372" s="3"/>
      <c r="Q372" s="3"/>
      <c r="R372" s="3"/>
      <c r="S372" s="3"/>
      <c r="T372" s="3"/>
      <c r="U372" s="3"/>
      <c r="V372" s="3"/>
      <c r="W372" s="3"/>
      <c r="X372" s="3"/>
      <c r="Y372" s="3"/>
      <c r="Z372" s="3"/>
    </row>
    <row r="373" ht="15.75" customHeight="1">
      <c r="A373" s="3"/>
      <c r="B373" s="3"/>
      <c r="C373" s="7"/>
      <c r="D373" s="3"/>
      <c r="E373" s="3"/>
      <c r="F373" s="7"/>
      <c r="G373" s="4"/>
      <c r="H373" s="3"/>
      <c r="I373" s="3"/>
      <c r="J373" s="3"/>
      <c r="K373" s="3"/>
      <c r="L373" s="3"/>
      <c r="M373" s="3"/>
      <c r="N373" s="3"/>
      <c r="O373" s="3"/>
      <c r="P373" s="3"/>
      <c r="Q373" s="3"/>
      <c r="R373" s="3"/>
      <c r="S373" s="3"/>
      <c r="T373" s="3"/>
      <c r="U373" s="3"/>
      <c r="V373" s="3"/>
      <c r="W373" s="3"/>
      <c r="X373" s="3"/>
      <c r="Y373" s="3"/>
      <c r="Z373" s="3"/>
    </row>
    <row r="374" ht="15.75" customHeight="1">
      <c r="A374" s="3"/>
      <c r="B374" s="3"/>
      <c r="C374" s="7"/>
      <c r="D374" s="3"/>
      <c r="E374" s="3"/>
      <c r="F374" s="7"/>
      <c r="G374" s="4"/>
      <c r="H374" s="3"/>
      <c r="I374" s="3"/>
      <c r="J374" s="3"/>
      <c r="K374" s="3"/>
      <c r="L374" s="3"/>
      <c r="M374" s="3"/>
      <c r="N374" s="3"/>
      <c r="O374" s="3"/>
      <c r="P374" s="3"/>
      <c r="Q374" s="3"/>
      <c r="R374" s="3"/>
      <c r="S374" s="3"/>
      <c r="T374" s="3"/>
      <c r="U374" s="3"/>
      <c r="V374" s="3"/>
      <c r="W374" s="3"/>
      <c r="X374" s="3"/>
      <c r="Y374" s="3"/>
      <c r="Z374" s="3"/>
    </row>
    <row r="375" ht="15.75" customHeight="1">
      <c r="A375" s="3"/>
      <c r="B375" s="3"/>
      <c r="C375" s="7"/>
      <c r="D375" s="3"/>
      <c r="E375" s="3"/>
      <c r="F375" s="7"/>
      <c r="G375" s="4"/>
      <c r="H375" s="3"/>
      <c r="I375" s="3"/>
      <c r="J375" s="3"/>
      <c r="K375" s="3"/>
      <c r="L375" s="3"/>
      <c r="M375" s="3"/>
      <c r="N375" s="3"/>
      <c r="O375" s="3"/>
      <c r="P375" s="3"/>
      <c r="Q375" s="3"/>
      <c r="R375" s="3"/>
      <c r="S375" s="3"/>
      <c r="T375" s="3"/>
      <c r="U375" s="3"/>
      <c r="V375" s="3"/>
      <c r="W375" s="3"/>
      <c r="X375" s="3"/>
      <c r="Y375" s="3"/>
      <c r="Z375" s="3"/>
    </row>
    <row r="376" ht="15.75" customHeight="1">
      <c r="A376" s="3"/>
      <c r="B376" s="3"/>
      <c r="C376" s="7"/>
      <c r="D376" s="3"/>
      <c r="E376" s="3"/>
      <c r="F376" s="7"/>
      <c r="G376" s="4"/>
      <c r="H376" s="3"/>
      <c r="I376" s="3"/>
      <c r="J376" s="3"/>
      <c r="K376" s="3"/>
      <c r="L376" s="3"/>
      <c r="M376" s="3"/>
      <c r="N376" s="3"/>
      <c r="O376" s="3"/>
      <c r="P376" s="3"/>
      <c r="Q376" s="3"/>
      <c r="R376" s="3"/>
      <c r="S376" s="3"/>
      <c r="T376" s="3"/>
      <c r="U376" s="3"/>
      <c r="V376" s="3"/>
      <c r="W376" s="3"/>
      <c r="X376" s="3"/>
      <c r="Y376" s="3"/>
      <c r="Z376" s="3"/>
    </row>
    <row r="377" ht="15.75" customHeight="1">
      <c r="A377" s="3"/>
      <c r="B377" s="3"/>
      <c r="C377" s="7"/>
      <c r="D377" s="3"/>
      <c r="E377" s="3"/>
      <c r="F377" s="7"/>
      <c r="G377" s="4"/>
      <c r="H377" s="3"/>
      <c r="I377" s="3"/>
      <c r="J377" s="3"/>
      <c r="K377" s="3"/>
      <c r="L377" s="3"/>
      <c r="M377" s="3"/>
      <c r="N377" s="3"/>
      <c r="O377" s="3"/>
      <c r="P377" s="3"/>
      <c r="Q377" s="3"/>
      <c r="R377" s="3"/>
      <c r="S377" s="3"/>
      <c r="T377" s="3"/>
      <c r="U377" s="3"/>
      <c r="V377" s="3"/>
      <c r="W377" s="3"/>
      <c r="X377" s="3"/>
      <c r="Y377" s="3"/>
      <c r="Z377" s="3"/>
    </row>
    <row r="378" ht="15.75" customHeight="1">
      <c r="A378" s="3"/>
      <c r="B378" s="3"/>
      <c r="C378" s="7"/>
      <c r="D378" s="3"/>
      <c r="E378" s="3"/>
      <c r="F378" s="7"/>
      <c r="G378" s="4"/>
      <c r="H378" s="3"/>
      <c r="I378" s="3"/>
      <c r="J378" s="3"/>
      <c r="K378" s="3"/>
      <c r="L378" s="3"/>
      <c r="M378" s="3"/>
      <c r="N378" s="3"/>
      <c r="O378" s="3"/>
      <c r="P378" s="3"/>
      <c r="Q378" s="3"/>
      <c r="R378" s="3"/>
      <c r="S378" s="3"/>
      <c r="T378" s="3"/>
      <c r="U378" s="3"/>
      <c r="V378" s="3"/>
      <c r="W378" s="3"/>
      <c r="X378" s="3"/>
      <c r="Y378" s="3"/>
      <c r="Z378" s="3"/>
    </row>
    <row r="379" ht="15.75" customHeight="1">
      <c r="A379" s="3"/>
      <c r="B379" s="3"/>
      <c r="C379" s="7"/>
      <c r="D379" s="3"/>
      <c r="E379" s="3"/>
      <c r="F379" s="7"/>
      <c r="G379" s="4"/>
      <c r="H379" s="3"/>
      <c r="I379" s="3"/>
      <c r="J379" s="3"/>
      <c r="K379" s="3"/>
      <c r="L379" s="3"/>
      <c r="M379" s="3"/>
      <c r="N379" s="3"/>
      <c r="O379" s="3"/>
      <c r="P379" s="3"/>
      <c r="Q379" s="3"/>
      <c r="R379" s="3"/>
      <c r="S379" s="3"/>
      <c r="T379" s="3"/>
      <c r="U379" s="3"/>
      <c r="V379" s="3"/>
      <c r="W379" s="3"/>
      <c r="X379" s="3"/>
      <c r="Y379" s="3"/>
      <c r="Z379" s="3"/>
    </row>
    <row r="380" ht="15.75" customHeight="1">
      <c r="A380" s="3"/>
      <c r="B380" s="3"/>
      <c r="C380" s="7"/>
      <c r="D380" s="3"/>
      <c r="E380" s="3"/>
      <c r="F380" s="7"/>
      <c r="G380" s="4"/>
      <c r="H380" s="3"/>
      <c r="I380" s="3"/>
      <c r="J380" s="3"/>
      <c r="K380" s="3"/>
      <c r="L380" s="3"/>
      <c r="M380" s="3"/>
      <c r="N380" s="3"/>
      <c r="O380" s="3"/>
      <c r="P380" s="3"/>
      <c r="Q380" s="3"/>
      <c r="R380" s="3"/>
      <c r="S380" s="3"/>
      <c r="T380" s="3"/>
      <c r="U380" s="3"/>
      <c r="V380" s="3"/>
      <c r="W380" s="3"/>
      <c r="X380" s="3"/>
      <c r="Y380" s="3"/>
      <c r="Z380" s="3"/>
    </row>
    <row r="381" ht="15.75" customHeight="1">
      <c r="A381" s="3"/>
      <c r="B381" s="3"/>
      <c r="C381" s="7"/>
      <c r="D381" s="3"/>
      <c r="E381" s="3"/>
      <c r="F381" s="7"/>
      <c r="G381" s="4"/>
      <c r="H381" s="3"/>
      <c r="I381" s="3"/>
      <c r="J381" s="3"/>
      <c r="K381" s="3"/>
      <c r="L381" s="3"/>
      <c r="M381" s="3"/>
      <c r="N381" s="3"/>
      <c r="O381" s="3"/>
      <c r="P381" s="3"/>
      <c r="Q381" s="3"/>
      <c r="R381" s="3"/>
      <c r="S381" s="3"/>
      <c r="T381" s="3"/>
      <c r="U381" s="3"/>
      <c r="V381" s="3"/>
      <c r="W381" s="3"/>
      <c r="X381" s="3"/>
      <c r="Y381" s="3"/>
      <c r="Z381" s="3"/>
    </row>
    <row r="382" ht="15.75" customHeight="1">
      <c r="A382" s="3"/>
      <c r="B382" s="3"/>
      <c r="C382" s="7"/>
      <c r="D382" s="3"/>
      <c r="E382" s="3"/>
      <c r="F382" s="7"/>
      <c r="G382" s="4"/>
      <c r="H382" s="3"/>
      <c r="I382" s="3"/>
      <c r="J382" s="3"/>
      <c r="K382" s="3"/>
      <c r="L382" s="3"/>
      <c r="M382" s="3"/>
      <c r="N382" s="3"/>
      <c r="O382" s="3"/>
      <c r="P382" s="3"/>
      <c r="Q382" s="3"/>
      <c r="R382" s="3"/>
      <c r="S382" s="3"/>
      <c r="T382" s="3"/>
      <c r="U382" s="3"/>
      <c r="V382" s="3"/>
      <c r="W382" s="3"/>
      <c r="X382" s="3"/>
      <c r="Y382" s="3"/>
      <c r="Z382" s="3"/>
    </row>
    <row r="383" ht="15.75" customHeight="1">
      <c r="A383" s="3"/>
      <c r="B383" s="3"/>
      <c r="C383" s="7"/>
      <c r="D383" s="3"/>
      <c r="E383" s="3"/>
      <c r="F383" s="7"/>
      <c r="G383" s="4"/>
      <c r="H383" s="3"/>
      <c r="I383" s="3"/>
      <c r="J383" s="3"/>
      <c r="K383" s="3"/>
      <c r="L383" s="3"/>
      <c r="M383" s="3"/>
      <c r="N383" s="3"/>
      <c r="O383" s="3"/>
      <c r="P383" s="3"/>
      <c r="Q383" s="3"/>
      <c r="R383" s="3"/>
      <c r="S383" s="3"/>
      <c r="T383" s="3"/>
      <c r="U383" s="3"/>
      <c r="V383" s="3"/>
      <c r="W383" s="3"/>
      <c r="X383" s="3"/>
      <c r="Y383" s="3"/>
      <c r="Z383" s="3"/>
    </row>
    <row r="384" ht="15.75" customHeight="1">
      <c r="A384" s="3"/>
      <c r="B384" s="3"/>
      <c r="C384" s="7"/>
      <c r="D384" s="3"/>
      <c r="E384" s="3"/>
      <c r="F384" s="7"/>
      <c r="G384" s="4"/>
      <c r="H384" s="3"/>
      <c r="I384" s="3"/>
      <c r="J384" s="3"/>
      <c r="K384" s="3"/>
      <c r="L384" s="3"/>
      <c r="M384" s="3"/>
      <c r="N384" s="3"/>
      <c r="O384" s="3"/>
      <c r="P384" s="3"/>
      <c r="Q384" s="3"/>
      <c r="R384" s="3"/>
      <c r="S384" s="3"/>
      <c r="T384" s="3"/>
      <c r="U384" s="3"/>
      <c r="V384" s="3"/>
      <c r="W384" s="3"/>
      <c r="X384" s="3"/>
      <c r="Y384" s="3"/>
      <c r="Z384" s="3"/>
    </row>
    <row r="385" ht="15.75" customHeight="1">
      <c r="A385" s="3"/>
      <c r="B385" s="3"/>
      <c r="C385" s="7"/>
      <c r="D385" s="3"/>
      <c r="E385" s="3"/>
      <c r="F385" s="7"/>
      <c r="G385" s="4"/>
      <c r="H385" s="3"/>
      <c r="I385" s="3"/>
      <c r="J385" s="3"/>
      <c r="K385" s="3"/>
      <c r="L385" s="3"/>
      <c r="M385" s="3"/>
      <c r="N385" s="3"/>
      <c r="O385" s="3"/>
      <c r="P385" s="3"/>
      <c r="Q385" s="3"/>
      <c r="R385" s="3"/>
      <c r="S385" s="3"/>
      <c r="T385" s="3"/>
      <c r="U385" s="3"/>
      <c r="V385" s="3"/>
      <c r="W385" s="3"/>
      <c r="X385" s="3"/>
      <c r="Y385" s="3"/>
      <c r="Z385" s="3"/>
    </row>
    <row r="386" ht="15.75" customHeight="1">
      <c r="A386" s="3"/>
      <c r="B386" s="3"/>
      <c r="C386" s="7"/>
      <c r="D386" s="3"/>
      <c r="E386" s="3"/>
      <c r="F386" s="7"/>
      <c r="G386" s="4"/>
      <c r="H386" s="3"/>
      <c r="I386" s="3"/>
      <c r="J386" s="3"/>
      <c r="K386" s="3"/>
      <c r="L386" s="3"/>
      <c r="M386" s="3"/>
      <c r="N386" s="3"/>
      <c r="O386" s="3"/>
      <c r="P386" s="3"/>
      <c r="Q386" s="3"/>
      <c r="R386" s="3"/>
      <c r="S386" s="3"/>
      <c r="T386" s="3"/>
      <c r="U386" s="3"/>
      <c r="V386" s="3"/>
      <c r="W386" s="3"/>
      <c r="X386" s="3"/>
      <c r="Y386" s="3"/>
      <c r="Z386" s="3"/>
    </row>
    <row r="387" ht="15.75" customHeight="1">
      <c r="A387" s="3"/>
      <c r="B387" s="3"/>
      <c r="C387" s="7"/>
      <c r="D387" s="3"/>
      <c r="E387" s="3"/>
      <c r="F387" s="7"/>
      <c r="G387" s="4"/>
      <c r="H387" s="3"/>
      <c r="I387" s="3"/>
      <c r="J387" s="3"/>
      <c r="K387" s="3"/>
      <c r="L387" s="3"/>
      <c r="M387" s="3"/>
      <c r="N387" s="3"/>
      <c r="O387" s="3"/>
      <c r="P387" s="3"/>
      <c r="Q387" s="3"/>
      <c r="R387" s="3"/>
      <c r="S387" s="3"/>
      <c r="T387" s="3"/>
      <c r="U387" s="3"/>
      <c r="V387" s="3"/>
      <c r="W387" s="3"/>
      <c r="X387" s="3"/>
      <c r="Y387" s="3"/>
      <c r="Z387" s="3"/>
    </row>
    <row r="388" ht="15.75" customHeight="1">
      <c r="A388" s="3"/>
      <c r="B388" s="3"/>
      <c r="C388" s="7"/>
      <c r="D388" s="3"/>
      <c r="E388" s="3"/>
      <c r="F388" s="7"/>
      <c r="G388" s="4"/>
      <c r="H388" s="3"/>
      <c r="I388" s="3"/>
      <c r="J388" s="3"/>
      <c r="K388" s="3"/>
      <c r="L388" s="3"/>
      <c r="M388" s="3"/>
      <c r="N388" s="3"/>
      <c r="O388" s="3"/>
      <c r="P388" s="3"/>
      <c r="Q388" s="3"/>
      <c r="R388" s="3"/>
      <c r="S388" s="3"/>
      <c r="T388" s="3"/>
      <c r="U388" s="3"/>
      <c r="V388" s="3"/>
      <c r="W388" s="3"/>
      <c r="X388" s="3"/>
      <c r="Y388" s="3"/>
      <c r="Z388" s="3"/>
    </row>
    <row r="389" ht="15.75" customHeight="1">
      <c r="A389" s="3"/>
      <c r="B389" s="3"/>
      <c r="C389" s="7"/>
      <c r="D389" s="3"/>
      <c r="E389" s="3"/>
      <c r="F389" s="7"/>
      <c r="G389" s="4"/>
      <c r="H389" s="3"/>
      <c r="I389" s="3"/>
      <c r="J389" s="3"/>
      <c r="K389" s="3"/>
      <c r="L389" s="3"/>
      <c r="M389" s="3"/>
      <c r="N389" s="3"/>
      <c r="O389" s="3"/>
      <c r="P389" s="3"/>
      <c r="Q389" s="3"/>
      <c r="R389" s="3"/>
      <c r="S389" s="3"/>
      <c r="T389" s="3"/>
      <c r="U389" s="3"/>
      <c r="V389" s="3"/>
      <c r="W389" s="3"/>
      <c r="X389" s="3"/>
      <c r="Y389" s="3"/>
      <c r="Z389" s="3"/>
    </row>
    <row r="390" ht="15.75" customHeight="1">
      <c r="A390" s="3"/>
      <c r="B390" s="3"/>
      <c r="C390" s="7"/>
      <c r="D390" s="3"/>
      <c r="E390" s="3"/>
      <c r="F390" s="7"/>
      <c r="G390" s="4"/>
      <c r="H390" s="3"/>
      <c r="I390" s="3"/>
      <c r="J390" s="3"/>
      <c r="K390" s="3"/>
      <c r="L390" s="3"/>
      <c r="M390" s="3"/>
      <c r="N390" s="3"/>
      <c r="O390" s="3"/>
      <c r="P390" s="3"/>
      <c r="Q390" s="3"/>
      <c r="R390" s="3"/>
      <c r="S390" s="3"/>
      <c r="T390" s="3"/>
      <c r="U390" s="3"/>
      <c r="V390" s="3"/>
      <c r="W390" s="3"/>
      <c r="X390" s="3"/>
      <c r="Y390" s="3"/>
      <c r="Z390" s="3"/>
    </row>
    <row r="391" ht="15.75" customHeight="1">
      <c r="A391" s="3"/>
      <c r="B391" s="3"/>
      <c r="C391" s="7"/>
      <c r="D391" s="3"/>
      <c r="E391" s="3"/>
      <c r="F391" s="7"/>
      <c r="G391" s="4"/>
      <c r="H391" s="3"/>
      <c r="I391" s="3"/>
      <c r="J391" s="3"/>
      <c r="K391" s="3"/>
      <c r="L391" s="3"/>
      <c r="M391" s="3"/>
      <c r="N391" s="3"/>
      <c r="O391" s="3"/>
      <c r="P391" s="3"/>
      <c r="Q391" s="3"/>
      <c r="R391" s="3"/>
      <c r="S391" s="3"/>
      <c r="T391" s="3"/>
      <c r="U391" s="3"/>
      <c r="V391" s="3"/>
      <c r="W391" s="3"/>
      <c r="X391" s="3"/>
      <c r="Y391" s="3"/>
      <c r="Z391" s="3"/>
    </row>
    <row r="392" ht="15.75" customHeight="1">
      <c r="A392" s="3"/>
      <c r="B392" s="3"/>
      <c r="C392" s="7"/>
      <c r="D392" s="3"/>
      <c r="E392" s="3"/>
      <c r="F392" s="7"/>
      <c r="G392" s="4"/>
      <c r="H392" s="3"/>
      <c r="I392" s="3"/>
      <c r="J392" s="3"/>
      <c r="K392" s="3"/>
      <c r="L392" s="3"/>
      <c r="M392" s="3"/>
      <c r="N392" s="3"/>
      <c r="O392" s="3"/>
      <c r="P392" s="3"/>
      <c r="Q392" s="3"/>
      <c r="R392" s="3"/>
      <c r="S392" s="3"/>
      <c r="T392" s="3"/>
      <c r="U392" s="3"/>
      <c r="V392" s="3"/>
      <c r="W392" s="3"/>
      <c r="X392" s="3"/>
      <c r="Y392" s="3"/>
      <c r="Z392" s="3"/>
    </row>
    <row r="393" ht="15.75" customHeight="1">
      <c r="A393" s="3"/>
      <c r="B393" s="3"/>
      <c r="C393" s="7"/>
      <c r="D393" s="3"/>
      <c r="E393" s="3"/>
      <c r="F393" s="7"/>
      <c r="G393" s="4"/>
      <c r="H393" s="3"/>
      <c r="I393" s="3"/>
      <c r="J393" s="3"/>
      <c r="K393" s="3"/>
      <c r="L393" s="3"/>
      <c r="M393" s="3"/>
      <c r="N393" s="3"/>
      <c r="O393" s="3"/>
      <c r="P393" s="3"/>
      <c r="Q393" s="3"/>
      <c r="R393" s="3"/>
      <c r="S393" s="3"/>
      <c r="T393" s="3"/>
      <c r="U393" s="3"/>
      <c r="V393" s="3"/>
      <c r="W393" s="3"/>
      <c r="X393" s="3"/>
      <c r="Y393" s="3"/>
      <c r="Z393" s="3"/>
    </row>
    <row r="394" ht="15.75" customHeight="1">
      <c r="A394" s="3"/>
      <c r="B394" s="3"/>
      <c r="C394" s="7"/>
      <c r="D394" s="3"/>
      <c r="E394" s="3"/>
      <c r="F394" s="7"/>
      <c r="G394" s="4"/>
      <c r="H394" s="3"/>
      <c r="I394" s="3"/>
      <c r="J394" s="3"/>
      <c r="K394" s="3"/>
      <c r="L394" s="3"/>
      <c r="M394" s="3"/>
      <c r="N394" s="3"/>
      <c r="O394" s="3"/>
      <c r="P394" s="3"/>
      <c r="Q394" s="3"/>
      <c r="R394" s="3"/>
      <c r="S394" s="3"/>
      <c r="T394" s="3"/>
      <c r="U394" s="3"/>
      <c r="V394" s="3"/>
      <c r="W394" s="3"/>
      <c r="X394" s="3"/>
      <c r="Y394" s="3"/>
      <c r="Z394" s="3"/>
    </row>
    <row r="395" ht="15.75" customHeight="1">
      <c r="A395" s="3"/>
      <c r="B395" s="3"/>
      <c r="C395" s="7"/>
      <c r="D395" s="3"/>
      <c r="E395" s="3"/>
      <c r="F395" s="7"/>
      <c r="G395" s="4"/>
      <c r="H395" s="3"/>
      <c r="I395" s="3"/>
      <c r="J395" s="3"/>
      <c r="K395" s="3"/>
      <c r="L395" s="3"/>
      <c r="M395" s="3"/>
      <c r="N395" s="3"/>
      <c r="O395" s="3"/>
      <c r="P395" s="3"/>
      <c r="Q395" s="3"/>
      <c r="R395" s="3"/>
      <c r="S395" s="3"/>
      <c r="T395" s="3"/>
      <c r="U395" s="3"/>
      <c r="V395" s="3"/>
      <c r="W395" s="3"/>
      <c r="X395" s="3"/>
      <c r="Y395" s="3"/>
      <c r="Z395" s="3"/>
    </row>
    <row r="396" ht="15.75" customHeight="1">
      <c r="A396" s="3"/>
      <c r="B396" s="3"/>
      <c r="C396" s="7"/>
      <c r="D396" s="3"/>
      <c r="E396" s="3"/>
      <c r="F396" s="7"/>
      <c r="G396" s="4"/>
      <c r="H396" s="3"/>
      <c r="I396" s="3"/>
      <c r="J396" s="3"/>
      <c r="K396" s="3"/>
      <c r="L396" s="3"/>
      <c r="M396" s="3"/>
      <c r="N396" s="3"/>
      <c r="O396" s="3"/>
      <c r="P396" s="3"/>
      <c r="Q396" s="3"/>
      <c r="R396" s="3"/>
      <c r="S396" s="3"/>
      <c r="T396" s="3"/>
      <c r="U396" s="3"/>
      <c r="V396" s="3"/>
      <c r="W396" s="3"/>
      <c r="X396" s="3"/>
      <c r="Y396" s="3"/>
      <c r="Z396" s="3"/>
    </row>
    <row r="397" ht="15.75" customHeight="1">
      <c r="A397" s="3"/>
      <c r="B397" s="3"/>
      <c r="C397" s="7"/>
      <c r="D397" s="3"/>
      <c r="E397" s="3"/>
      <c r="F397" s="7"/>
      <c r="G397" s="4"/>
      <c r="H397" s="3"/>
      <c r="I397" s="3"/>
      <c r="J397" s="3"/>
      <c r="K397" s="3"/>
      <c r="L397" s="3"/>
      <c r="M397" s="3"/>
      <c r="N397" s="3"/>
      <c r="O397" s="3"/>
      <c r="P397" s="3"/>
      <c r="Q397" s="3"/>
      <c r="R397" s="3"/>
      <c r="S397" s="3"/>
      <c r="T397" s="3"/>
      <c r="U397" s="3"/>
      <c r="V397" s="3"/>
      <c r="W397" s="3"/>
      <c r="X397" s="3"/>
      <c r="Y397" s="3"/>
      <c r="Z397" s="3"/>
    </row>
    <row r="398" ht="15.75" customHeight="1">
      <c r="A398" s="3"/>
      <c r="B398" s="3"/>
      <c r="C398" s="7"/>
      <c r="D398" s="3"/>
      <c r="E398" s="3"/>
      <c r="F398" s="7"/>
      <c r="G398" s="4"/>
      <c r="H398" s="3"/>
      <c r="I398" s="3"/>
      <c r="J398" s="3"/>
      <c r="K398" s="3"/>
      <c r="L398" s="3"/>
      <c r="M398" s="3"/>
      <c r="N398" s="3"/>
      <c r="O398" s="3"/>
      <c r="P398" s="3"/>
      <c r="Q398" s="3"/>
      <c r="R398" s="3"/>
      <c r="S398" s="3"/>
      <c r="T398" s="3"/>
      <c r="U398" s="3"/>
      <c r="V398" s="3"/>
      <c r="W398" s="3"/>
      <c r="X398" s="3"/>
      <c r="Y398" s="3"/>
      <c r="Z398" s="3"/>
    </row>
    <row r="399" ht="15.75" customHeight="1">
      <c r="A399" s="3"/>
      <c r="B399" s="3"/>
      <c r="C399" s="7"/>
      <c r="D399" s="3"/>
      <c r="E399" s="3"/>
      <c r="F399" s="7"/>
      <c r="G399" s="4"/>
      <c r="H399" s="3"/>
      <c r="I399" s="3"/>
      <c r="J399" s="3"/>
      <c r="K399" s="3"/>
      <c r="L399" s="3"/>
      <c r="M399" s="3"/>
      <c r="N399" s="3"/>
      <c r="O399" s="3"/>
      <c r="P399" s="3"/>
      <c r="Q399" s="3"/>
      <c r="R399" s="3"/>
      <c r="S399" s="3"/>
      <c r="T399" s="3"/>
      <c r="U399" s="3"/>
      <c r="V399" s="3"/>
      <c r="W399" s="3"/>
      <c r="X399" s="3"/>
      <c r="Y399" s="3"/>
      <c r="Z399" s="3"/>
    </row>
    <row r="400" ht="15.75" customHeight="1">
      <c r="A400" s="3"/>
      <c r="B400" s="3"/>
      <c r="C400" s="7"/>
      <c r="D400" s="3"/>
      <c r="E400" s="3"/>
      <c r="F400" s="7"/>
      <c r="G400" s="4"/>
      <c r="H400" s="3"/>
      <c r="I400" s="3"/>
      <c r="J400" s="3"/>
      <c r="K400" s="3"/>
      <c r="L400" s="3"/>
      <c r="M400" s="3"/>
      <c r="N400" s="3"/>
      <c r="O400" s="3"/>
      <c r="P400" s="3"/>
      <c r="Q400" s="3"/>
      <c r="R400" s="3"/>
      <c r="S400" s="3"/>
      <c r="T400" s="3"/>
      <c r="U400" s="3"/>
      <c r="V400" s="3"/>
      <c r="W400" s="3"/>
      <c r="X400" s="3"/>
      <c r="Y400" s="3"/>
      <c r="Z400" s="3"/>
    </row>
    <row r="401" ht="15.75" customHeight="1">
      <c r="A401" s="3"/>
      <c r="B401" s="3"/>
      <c r="C401" s="7"/>
      <c r="D401" s="3"/>
      <c r="E401" s="3"/>
      <c r="F401" s="7"/>
      <c r="G401" s="4"/>
      <c r="H401" s="3"/>
      <c r="I401" s="3"/>
      <c r="J401" s="3"/>
      <c r="K401" s="3"/>
      <c r="L401" s="3"/>
      <c r="M401" s="3"/>
      <c r="N401" s="3"/>
      <c r="O401" s="3"/>
      <c r="P401" s="3"/>
      <c r="Q401" s="3"/>
      <c r="R401" s="3"/>
      <c r="S401" s="3"/>
      <c r="T401" s="3"/>
      <c r="U401" s="3"/>
      <c r="V401" s="3"/>
      <c r="W401" s="3"/>
      <c r="X401" s="3"/>
      <c r="Y401" s="3"/>
      <c r="Z401" s="3"/>
    </row>
    <row r="402" ht="15.75" customHeight="1">
      <c r="A402" s="3"/>
      <c r="B402" s="3"/>
      <c r="C402" s="7"/>
      <c r="D402" s="3"/>
      <c r="E402" s="3"/>
      <c r="F402" s="7"/>
      <c r="G402" s="4"/>
      <c r="H402" s="3"/>
      <c r="I402" s="3"/>
      <c r="J402" s="3"/>
      <c r="K402" s="3"/>
      <c r="L402" s="3"/>
      <c r="M402" s="3"/>
      <c r="N402" s="3"/>
      <c r="O402" s="3"/>
      <c r="P402" s="3"/>
      <c r="Q402" s="3"/>
      <c r="R402" s="3"/>
      <c r="S402" s="3"/>
      <c r="T402" s="3"/>
      <c r="U402" s="3"/>
      <c r="V402" s="3"/>
      <c r="W402" s="3"/>
      <c r="X402" s="3"/>
      <c r="Y402" s="3"/>
      <c r="Z402" s="3"/>
    </row>
    <row r="403" ht="15.75" customHeight="1">
      <c r="A403" s="3"/>
      <c r="B403" s="3"/>
      <c r="C403" s="7"/>
      <c r="D403" s="3"/>
      <c r="E403" s="3"/>
      <c r="F403" s="7"/>
      <c r="G403" s="4"/>
      <c r="H403" s="3"/>
      <c r="I403" s="3"/>
      <c r="J403" s="3"/>
      <c r="K403" s="3"/>
      <c r="L403" s="3"/>
      <c r="M403" s="3"/>
      <c r="N403" s="3"/>
      <c r="O403" s="3"/>
      <c r="P403" s="3"/>
      <c r="Q403" s="3"/>
      <c r="R403" s="3"/>
      <c r="S403" s="3"/>
      <c r="T403" s="3"/>
      <c r="U403" s="3"/>
      <c r="V403" s="3"/>
      <c r="W403" s="3"/>
      <c r="X403" s="3"/>
      <c r="Y403" s="3"/>
      <c r="Z403" s="3"/>
    </row>
    <row r="404" ht="15.75" customHeight="1">
      <c r="A404" s="3"/>
      <c r="B404" s="3"/>
      <c r="C404" s="7"/>
      <c r="D404" s="3"/>
      <c r="E404" s="3"/>
      <c r="F404" s="7"/>
      <c r="G404" s="4"/>
      <c r="H404" s="3"/>
      <c r="I404" s="3"/>
      <c r="J404" s="3"/>
      <c r="K404" s="3"/>
      <c r="L404" s="3"/>
      <c r="M404" s="3"/>
      <c r="N404" s="3"/>
      <c r="O404" s="3"/>
      <c r="P404" s="3"/>
      <c r="Q404" s="3"/>
      <c r="R404" s="3"/>
      <c r="S404" s="3"/>
      <c r="T404" s="3"/>
      <c r="U404" s="3"/>
      <c r="V404" s="3"/>
      <c r="W404" s="3"/>
      <c r="X404" s="3"/>
      <c r="Y404" s="3"/>
      <c r="Z404" s="3"/>
    </row>
    <row r="405" ht="15.75" customHeight="1">
      <c r="A405" s="3"/>
      <c r="B405" s="3"/>
      <c r="C405" s="7"/>
      <c r="D405" s="3"/>
      <c r="E405" s="3"/>
      <c r="F405" s="7"/>
      <c r="G405" s="4"/>
      <c r="H405" s="3"/>
      <c r="I405" s="3"/>
      <c r="J405" s="3"/>
      <c r="K405" s="3"/>
      <c r="L405" s="3"/>
      <c r="M405" s="3"/>
      <c r="N405" s="3"/>
      <c r="O405" s="3"/>
      <c r="P405" s="3"/>
      <c r="Q405" s="3"/>
      <c r="R405" s="3"/>
      <c r="S405" s="3"/>
      <c r="T405" s="3"/>
      <c r="U405" s="3"/>
      <c r="V405" s="3"/>
      <c r="W405" s="3"/>
      <c r="X405" s="3"/>
      <c r="Y405" s="3"/>
      <c r="Z405" s="3"/>
    </row>
    <row r="406" ht="15.75" customHeight="1">
      <c r="A406" s="3"/>
      <c r="B406" s="3"/>
      <c r="C406" s="7"/>
      <c r="D406" s="3"/>
      <c r="E406" s="3"/>
      <c r="F406" s="7"/>
      <c r="G406" s="4"/>
      <c r="H406" s="3"/>
      <c r="I406" s="3"/>
      <c r="J406" s="3"/>
      <c r="K406" s="3"/>
      <c r="L406" s="3"/>
      <c r="M406" s="3"/>
      <c r="N406" s="3"/>
      <c r="O406" s="3"/>
      <c r="P406" s="3"/>
      <c r="Q406" s="3"/>
      <c r="R406" s="3"/>
      <c r="S406" s="3"/>
      <c r="T406" s="3"/>
      <c r="U406" s="3"/>
      <c r="V406" s="3"/>
      <c r="W406" s="3"/>
      <c r="X406" s="3"/>
      <c r="Y406" s="3"/>
      <c r="Z406" s="3"/>
    </row>
    <row r="407" ht="15.75" customHeight="1">
      <c r="A407" s="3"/>
      <c r="B407" s="3"/>
      <c r="C407" s="7"/>
      <c r="D407" s="3"/>
      <c r="E407" s="3"/>
      <c r="F407" s="7"/>
      <c r="G407" s="4"/>
      <c r="H407" s="3"/>
      <c r="I407" s="3"/>
      <c r="J407" s="3"/>
      <c r="K407" s="3"/>
      <c r="L407" s="3"/>
      <c r="M407" s="3"/>
      <c r="N407" s="3"/>
      <c r="O407" s="3"/>
      <c r="P407" s="3"/>
      <c r="Q407" s="3"/>
      <c r="R407" s="3"/>
      <c r="S407" s="3"/>
      <c r="T407" s="3"/>
      <c r="U407" s="3"/>
      <c r="V407" s="3"/>
      <c r="W407" s="3"/>
      <c r="X407" s="3"/>
      <c r="Y407" s="3"/>
      <c r="Z407" s="3"/>
    </row>
    <row r="408" ht="15.75" customHeight="1">
      <c r="A408" s="3"/>
      <c r="B408" s="3"/>
      <c r="C408" s="7"/>
      <c r="D408" s="3"/>
      <c r="E408" s="3"/>
      <c r="F408" s="7"/>
      <c r="G408" s="4"/>
      <c r="H408" s="3"/>
      <c r="I408" s="3"/>
      <c r="J408" s="3"/>
      <c r="K408" s="3"/>
      <c r="L408" s="3"/>
      <c r="M408" s="3"/>
      <c r="N408" s="3"/>
      <c r="O408" s="3"/>
      <c r="P408" s="3"/>
      <c r="Q408" s="3"/>
      <c r="R408" s="3"/>
      <c r="S408" s="3"/>
      <c r="T408" s="3"/>
      <c r="U408" s="3"/>
      <c r="V408" s="3"/>
      <c r="W408" s="3"/>
      <c r="X408" s="3"/>
      <c r="Y408" s="3"/>
      <c r="Z408" s="3"/>
    </row>
    <row r="409" ht="15.75" customHeight="1">
      <c r="A409" s="3"/>
      <c r="B409" s="3"/>
      <c r="C409" s="7"/>
      <c r="D409" s="3"/>
      <c r="E409" s="3"/>
      <c r="F409" s="7"/>
      <c r="G409" s="4"/>
      <c r="H409" s="3"/>
      <c r="I409" s="3"/>
      <c r="J409" s="3"/>
      <c r="K409" s="3"/>
      <c r="L409" s="3"/>
      <c r="M409" s="3"/>
      <c r="N409" s="3"/>
      <c r="O409" s="3"/>
      <c r="P409" s="3"/>
      <c r="Q409" s="3"/>
      <c r="R409" s="3"/>
      <c r="S409" s="3"/>
      <c r="T409" s="3"/>
      <c r="U409" s="3"/>
      <c r="V409" s="3"/>
      <c r="W409" s="3"/>
      <c r="X409" s="3"/>
      <c r="Y409" s="3"/>
      <c r="Z409" s="3"/>
    </row>
    <row r="410" ht="15.75" customHeight="1">
      <c r="A410" s="3"/>
      <c r="B410" s="3"/>
      <c r="C410" s="7"/>
      <c r="D410" s="3"/>
      <c r="E410" s="3"/>
      <c r="F410" s="7"/>
      <c r="G410" s="4"/>
      <c r="H410" s="3"/>
      <c r="I410" s="3"/>
      <c r="J410" s="3"/>
      <c r="K410" s="3"/>
      <c r="L410" s="3"/>
      <c r="M410" s="3"/>
      <c r="N410" s="3"/>
      <c r="O410" s="3"/>
      <c r="P410" s="3"/>
      <c r="Q410" s="3"/>
      <c r="R410" s="3"/>
      <c r="S410" s="3"/>
      <c r="T410" s="3"/>
      <c r="U410" s="3"/>
      <c r="V410" s="3"/>
      <c r="W410" s="3"/>
      <c r="X410" s="3"/>
      <c r="Y410" s="3"/>
      <c r="Z410" s="3"/>
    </row>
    <row r="411" ht="15.75" customHeight="1">
      <c r="A411" s="3"/>
      <c r="B411" s="3"/>
      <c r="C411" s="7"/>
      <c r="D411" s="3"/>
      <c r="E411" s="3"/>
      <c r="F411" s="7"/>
      <c r="G411" s="4"/>
      <c r="H411" s="3"/>
      <c r="I411" s="3"/>
      <c r="J411" s="3"/>
      <c r="K411" s="3"/>
      <c r="L411" s="3"/>
      <c r="M411" s="3"/>
      <c r="N411" s="3"/>
      <c r="O411" s="3"/>
      <c r="P411" s="3"/>
      <c r="Q411" s="3"/>
      <c r="R411" s="3"/>
      <c r="S411" s="3"/>
      <c r="T411" s="3"/>
      <c r="U411" s="3"/>
      <c r="V411" s="3"/>
      <c r="W411" s="3"/>
      <c r="X411" s="3"/>
      <c r="Y411" s="3"/>
      <c r="Z411" s="3"/>
    </row>
    <row r="412" ht="15.75" customHeight="1">
      <c r="A412" s="3"/>
      <c r="B412" s="3"/>
      <c r="C412" s="7"/>
      <c r="D412" s="3"/>
      <c r="E412" s="3"/>
      <c r="F412" s="7"/>
      <c r="G412" s="4"/>
      <c r="H412" s="3"/>
      <c r="I412" s="3"/>
      <c r="J412" s="3"/>
      <c r="K412" s="3"/>
      <c r="L412" s="3"/>
      <c r="M412" s="3"/>
      <c r="N412" s="3"/>
      <c r="O412" s="3"/>
      <c r="P412" s="3"/>
      <c r="Q412" s="3"/>
      <c r="R412" s="3"/>
      <c r="S412" s="3"/>
      <c r="T412" s="3"/>
      <c r="U412" s="3"/>
      <c r="V412" s="3"/>
      <c r="W412" s="3"/>
      <c r="X412" s="3"/>
      <c r="Y412" s="3"/>
      <c r="Z412" s="3"/>
    </row>
    <row r="413" ht="15.75" customHeight="1">
      <c r="A413" s="3"/>
      <c r="B413" s="3"/>
      <c r="C413" s="7"/>
      <c r="D413" s="3"/>
      <c r="E413" s="3"/>
      <c r="F413" s="7"/>
      <c r="G413" s="4"/>
      <c r="H413" s="3"/>
      <c r="I413" s="3"/>
      <c r="J413" s="3"/>
      <c r="K413" s="3"/>
      <c r="L413" s="3"/>
      <c r="M413" s="3"/>
      <c r="N413" s="3"/>
      <c r="O413" s="3"/>
      <c r="P413" s="3"/>
      <c r="Q413" s="3"/>
      <c r="R413" s="3"/>
      <c r="S413" s="3"/>
      <c r="T413" s="3"/>
      <c r="U413" s="3"/>
      <c r="V413" s="3"/>
      <c r="W413" s="3"/>
      <c r="X413" s="3"/>
      <c r="Y413" s="3"/>
      <c r="Z413" s="3"/>
    </row>
    <row r="414" ht="15.75" customHeight="1">
      <c r="A414" s="3"/>
      <c r="B414" s="3"/>
      <c r="C414" s="7"/>
      <c r="D414" s="3"/>
      <c r="E414" s="3"/>
      <c r="F414" s="7"/>
      <c r="G414" s="4"/>
      <c r="H414" s="3"/>
      <c r="I414" s="3"/>
      <c r="J414" s="3"/>
      <c r="K414" s="3"/>
      <c r="L414" s="3"/>
      <c r="M414" s="3"/>
      <c r="N414" s="3"/>
      <c r="O414" s="3"/>
      <c r="P414" s="3"/>
      <c r="Q414" s="3"/>
      <c r="R414" s="3"/>
      <c r="S414" s="3"/>
      <c r="T414" s="3"/>
      <c r="U414" s="3"/>
      <c r="V414" s="3"/>
      <c r="W414" s="3"/>
      <c r="X414" s="3"/>
      <c r="Y414" s="3"/>
      <c r="Z414" s="3"/>
    </row>
    <row r="415" ht="15.75" customHeight="1">
      <c r="A415" s="3"/>
      <c r="B415" s="3"/>
      <c r="C415" s="7"/>
      <c r="D415" s="3"/>
      <c r="E415" s="3"/>
      <c r="F415" s="7"/>
      <c r="G415" s="4"/>
      <c r="H415" s="3"/>
      <c r="I415" s="3"/>
      <c r="J415" s="3"/>
      <c r="K415" s="3"/>
      <c r="L415" s="3"/>
      <c r="M415" s="3"/>
      <c r="N415" s="3"/>
      <c r="O415" s="3"/>
      <c r="P415" s="3"/>
      <c r="Q415" s="3"/>
      <c r="R415" s="3"/>
      <c r="S415" s="3"/>
      <c r="T415" s="3"/>
      <c r="U415" s="3"/>
      <c r="V415" s="3"/>
      <c r="W415" s="3"/>
      <c r="X415" s="3"/>
      <c r="Y415" s="3"/>
      <c r="Z415" s="3"/>
    </row>
    <row r="416" ht="15.75" customHeight="1">
      <c r="A416" s="3"/>
      <c r="B416" s="3"/>
      <c r="C416" s="7"/>
      <c r="D416" s="3"/>
      <c r="E416" s="3"/>
      <c r="F416" s="7"/>
      <c r="G416" s="4"/>
      <c r="H416" s="3"/>
      <c r="I416" s="3"/>
      <c r="J416" s="3"/>
      <c r="K416" s="3"/>
      <c r="L416" s="3"/>
      <c r="M416" s="3"/>
      <c r="N416" s="3"/>
      <c r="O416" s="3"/>
      <c r="P416" s="3"/>
      <c r="Q416" s="3"/>
      <c r="R416" s="3"/>
      <c r="S416" s="3"/>
      <c r="T416" s="3"/>
      <c r="U416" s="3"/>
      <c r="V416" s="3"/>
      <c r="W416" s="3"/>
      <c r="X416" s="3"/>
      <c r="Y416" s="3"/>
      <c r="Z416" s="3"/>
    </row>
    <row r="417" ht="15.75" customHeight="1">
      <c r="A417" s="3"/>
      <c r="B417" s="3"/>
      <c r="C417" s="7"/>
      <c r="D417" s="3"/>
      <c r="E417" s="3"/>
      <c r="F417" s="7"/>
      <c r="G417" s="4"/>
      <c r="H417" s="3"/>
      <c r="I417" s="3"/>
      <c r="J417" s="3"/>
      <c r="K417" s="3"/>
      <c r="L417" s="3"/>
      <c r="M417" s="3"/>
      <c r="N417" s="3"/>
      <c r="O417" s="3"/>
      <c r="P417" s="3"/>
      <c r="Q417" s="3"/>
      <c r="R417" s="3"/>
      <c r="S417" s="3"/>
      <c r="T417" s="3"/>
      <c r="U417" s="3"/>
      <c r="V417" s="3"/>
      <c r="W417" s="3"/>
      <c r="X417" s="3"/>
      <c r="Y417" s="3"/>
      <c r="Z417" s="3"/>
    </row>
    <row r="418" ht="15.75" customHeight="1">
      <c r="A418" s="3"/>
      <c r="B418" s="3"/>
      <c r="C418" s="7"/>
      <c r="D418" s="3"/>
      <c r="E418" s="3"/>
      <c r="F418" s="7"/>
      <c r="G418" s="4"/>
      <c r="H418" s="3"/>
      <c r="I418" s="3"/>
      <c r="J418" s="3"/>
      <c r="K418" s="3"/>
      <c r="L418" s="3"/>
      <c r="M418" s="3"/>
      <c r="N418" s="3"/>
      <c r="O418" s="3"/>
      <c r="P418" s="3"/>
      <c r="Q418" s="3"/>
      <c r="R418" s="3"/>
      <c r="S418" s="3"/>
      <c r="T418" s="3"/>
      <c r="U418" s="3"/>
      <c r="V418" s="3"/>
      <c r="W418" s="3"/>
      <c r="X418" s="3"/>
      <c r="Y418" s="3"/>
      <c r="Z418" s="3"/>
    </row>
    <row r="419" ht="15.75" customHeight="1">
      <c r="A419" s="3"/>
      <c r="B419" s="3"/>
      <c r="C419" s="7"/>
      <c r="D419" s="3"/>
      <c r="E419" s="3"/>
      <c r="F419" s="7"/>
      <c r="G419" s="4"/>
      <c r="H419" s="3"/>
      <c r="I419" s="3"/>
      <c r="J419" s="3"/>
      <c r="K419" s="3"/>
      <c r="L419" s="3"/>
      <c r="M419" s="3"/>
      <c r="N419" s="3"/>
      <c r="O419" s="3"/>
      <c r="P419" s="3"/>
      <c r="Q419" s="3"/>
      <c r="R419" s="3"/>
      <c r="S419" s="3"/>
      <c r="T419" s="3"/>
      <c r="U419" s="3"/>
      <c r="V419" s="3"/>
      <c r="W419" s="3"/>
      <c r="X419" s="3"/>
      <c r="Y419" s="3"/>
      <c r="Z419" s="3"/>
    </row>
    <row r="420" ht="15.75" customHeight="1">
      <c r="A420" s="3"/>
      <c r="B420" s="3"/>
      <c r="C420" s="7"/>
      <c r="D420" s="3"/>
      <c r="E420" s="3"/>
      <c r="F420" s="7"/>
      <c r="G420" s="4"/>
      <c r="H420" s="3"/>
      <c r="I420" s="3"/>
      <c r="J420" s="3"/>
      <c r="K420" s="3"/>
      <c r="L420" s="3"/>
      <c r="M420" s="3"/>
      <c r="N420" s="3"/>
      <c r="O420" s="3"/>
      <c r="P420" s="3"/>
      <c r="Q420" s="3"/>
      <c r="R420" s="3"/>
      <c r="S420" s="3"/>
      <c r="T420" s="3"/>
      <c r="U420" s="3"/>
      <c r="V420" s="3"/>
      <c r="W420" s="3"/>
      <c r="X420" s="3"/>
      <c r="Y420" s="3"/>
      <c r="Z420" s="3"/>
    </row>
    <row r="421" ht="15.75" customHeight="1">
      <c r="A421" s="3"/>
      <c r="B421" s="3"/>
      <c r="C421" s="7"/>
      <c r="D421" s="3"/>
      <c r="E421" s="3"/>
      <c r="F421" s="7"/>
      <c r="G421" s="4"/>
      <c r="H421" s="3"/>
      <c r="I421" s="3"/>
      <c r="J421" s="3"/>
      <c r="K421" s="3"/>
      <c r="L421" s="3"/>
      <c r="M421" s="3"/>
      <c r="N421" s="3"/>
      <c r="O421" s="3"/>
      <c r="P421" s="3"/>
      <c r="Q421" s="3"/>
      <c r="R421" s="3"/>
      <c r="S421" s="3"/>
      <c r="T421" s="3"/>
      <c r="U421" s="3"/>
      <c r="V421" s="3"/>
      <c r="W421" s="3"/>
      <c r="X421" s="3"/>
      <c r="Y421" s="3"/>
      <c r="Z421" s="3"/>
    </row>
    <row r="422" ht="15.75" customHeight="1">
      <c r="A422" s="3"/>
      <c r="B422" s="3"/>
      <c r="C422" s="7"/>
      <c r="D422" s="3"/>
      <c r="E422" s="3"/>
      <c r="F422" s="7"/>
      <c r="G422" s="4"/>
      <c r="H422" s="3"/>
      <c r="I422" s="3"/>
      <c r="J422" s="3"/>
      <c r="K422" s="3"/>
      <c r="L422" s="3"/>
      <c r="M422" s="3"/>
      <c r="N422" s="3"/>
      <c r="O422" s="3"/>
      <c r="P422" s="3"/>
      <c r="Q422" s="3"/>
      <c r="R422" s="3"/>
      <c r="S422" s="3"/>
      <c r="T422" s="3"/>
      <c r="U422" s="3"/>
      <c r="V422" s="3"/>
      <c r="W422" s="3"/>
      <c r="X422" s="3"/>
      <c r="Y422" s="3"/>
      <c r="Z422" s="3"/>
    </row>
    <row r="423" ht="15.75" customHeight="1">
      <c r="A423" s="3"/>
      <c r="B423" s="3"/>
      <c r="C423" s="7"/>
      <c r="D423" s="3"/>
      <c r="E423" s="3"/>
      <c r="F423" s="7"/>
      <c r="G423" s="4"/>
      <c r="H423" s="3"/>
      <c r="I423" s="3"/>
      <c r="J423" s="3"/>
      <c r="K423" s="3"/>
      <c r="L423" s="3"/>
      <c r="M423" s="3"/>
      <c r="N423" s="3"/>
      <c r="O423" s="3"/>
      <c r="P423" s="3"/>
      <c r="Q423" s="3"/>
      <c r="R423" s="3"/>
      <c r="S423" s="3"/>
      <c r="T423" s="3"/>
      <c r="U423" s="3"/>
      <c r="V423" s="3"/>
      <c r="W423" s="3"/>
      <c r="X423" s="3"/>
      <c r="Y423" s="3"/>
      <c r="Z423" s="3"/>
    </row>
    <row r="424" ht="15.75" customHeight="1">
      <c r="A424" s="3"/>
      <c r="B424" s="3"/>
      <c r="C424" s="7"/>
      <c r="D424" s="3"/>
      <c r="E424" s="3"/>
      <c r="F424" s="7"/>
      <c r="G424" s="4"/>
      <c r="H424" s="3"/>
      <c r="I424" s="3"/>
      <c r="J424" s="3"/>
      <c r="K424" s="3"/>
      <c r="L424" s="3"/>
      <c r="M424" s="3"/>
      <c r="N424" s="3"/>
      <c r="O424" s="3"/>
      <c r="P424" s="3"/>
      <c r="Q424" s="3"/>
      <c r="R424" s="3"/>
      <c r="S424" s="3"/>
      <c r="T424" s="3"/>
      <c r="U424" s="3"/>
      <c r="V424" s="3"/>
      <c r="W424" s="3"/>
      <c r="X424" s="3"/>
      <c r="Y424" s="3"/>
      <c r="Z424" s="3"/>
    </row>
    <row r="425" ht="15.75" customHeight="1">
      <c r="A425" s="3"/>
      <c r="B425" s="3"/>
      <c r="C425" s="7"/>
      <c r="D425" s="3"/>
      <c r="E425" s="3"/>
      <c r="F425" s="7"/>
      <c r="G425" s="4"/>
      <c r="H425" s="3"/>
      <c r="I425" s="3"/>
      <c r="J425" s="3"/>
      <c r="K425" s="3"/>
      <c r="L425" s="3"/>
      <c r="M425" s="3"/>
      <c r="N425" s="3"/>
      <c r="O425" s="3"/>
      <c r="P425" s="3"/>
      <c r="Q425" s="3"/>
      <c r="R425" s="3"/>
      <c r="S425" s="3"/>
      <c r="T425" s="3"/>
      <c r="U425" s="3"/>
      <c r="V425" s="3"/>
      <c r="W425" s="3"/>
      <c r="X425" s="3"/>
      <c r="Y425" s="3"/>
      <c r="Z425" s="3"/>
    </row>
    <row r="426" ht="15.75" customHeight="1">
      <c r="A426" s="3"/>
      <c r="B426" s="3"/>
      <c r="C426" s="7"/>
      <c r="D426" s="3"/>
      <c r="E426" s="3"/>
      <c r="F426" s="7"/>
      <c r="G426" s="4"/>
      <c r="H426" s="3"/>
      <c r="I426" s="3"/>
      <c r="J426" s="3"/>
      <c r="K426" s="3"/>
      <c r="L426" s="3"/>
      <c r="M426" s="3"/>
      <c r="N426" s="3"/>
      <c r="O426" s="3"/>
      <c r="P426" s="3"/>
      <c r="Q426" s="3"/>
      <c r="R426" s="3"/>
      <c r="S426" s="3"/>
      <c r="T426" s="3"/>
      <c r="U426" s="3"/>
      <c r="V426" s="3"/>
      <c r="W426" s="3"/>
      <c r="X426" s="3"/>
      <c r="Y426" s="3"/>
      <c r="Z426" s="3"/>
    </row>
    <row r="427" ht="15.75" customHeight="1">
      <c r="A427" s="3"/>
      <c r="B427" s="3"/>
      <c r="C427" s="7"/>
      <c r="D427" s="3"/>
      <c r="E427" s="3"/>
      <c r="F427" s="7"/>
      <c r="G427" s="4"/>
      <c r="H427" s="3"/>
      <c r="I427" s="3"/>
      <c r="J427" s="3"/>
      <c r="K427" s="3"/>
      <c r="L427" s="3"/>
      <c r="M427" s="3"/>
      <c r="N427" s="3"/>
      <c r="O427" s="3"/>
      <c r="P427" s="3"/>
      <c r="Q427" s="3"/>
      <c r="R427" s="3"/>
      <c r="S427" s="3"/>
      <c r="T427" s="3"/>
      <c r="U427" s="3"/>
      <c r="V427" s="3"/>
      <c r="W427" s="3"/>
      <c r="X427" s="3"/>
      <c r="Y427" s="3"/>
      <c r="Z427" s="3"/>
    </row>
    <row r="428" ht="15.75" customHeight="1">
      <c r="A428" s="3"/>
      <c r="B428" s="3"/>
      <c r="C428" s="7"/>
      <c r="D428" s="3"/>
      <c r="E428" s="3"/>
      <c r="F428" s="7"/>
      <c r="G428" s="4"/>
      <c r="H428" s="3"/>
      <c r="I428" s="3"/>
      <c r="J428" s="3"/>
      <c r="K428" s="3"/>
      <c r="L428" s="3"/>
      <c r="M428" s="3"/>
      <c r="N428" s="3"/>
      <c r="O428" s="3"/>
      <c r="P428" s="3"/>
      <c r="Q428" s="3"/>
      <c r="R428" s="3"/>
      <c r="S428" s="3"/>
      <c r="T428" s="3"/>
      <c r="U428" s="3"/>
      <c r="V428" s="3"/>
      <c r="W428" s="3"/>
      <c r="X428" s="3"/>
      <c r="Y428" s="3"/>
      <c r="Z428" s="3"/>
    </row>
    <row r="429" ht="15.75" customHeight="1">
      <c r="A429" s="3"/>
      <c r="B429" s="3"/>
      <c r="C429" s="7"/>
      <c r="D429" s="3"/>
      <c r="E429" s="3"/>
      <c r="F429" s="7"/>
      <c r="G429" s="4"/>
      <c r="H429" s="3"/>
      <c r="I429" s="3"/>
      <c r="J429" s="3"/>
      <c r="K429" s="3"/>
      <c r="L429" s="3"/>
      <c r="M429" s="3"/>
      <c r="N429" s="3"/>
      <c r="O429" s="3"/>
      <c r="P429" s="3"/>
      <c r="Q429" s="3"/>
      <c r="R429" s="3"/>
      <c r="S429" s="3"/>
      <c r="T429" s="3"/>
      <c r="U429" s="3"/>
      <c r="V429" s="3"/>
      <c r="W429" s="3"/>
      <c r="X429" s="3"/>
      <c r="Y429" s="3"/>
      <c r="Z429" s="3"/>
    </row>
    <row r="430" ht="15.75" customHeight="1">
      <c r="A430" s="3"/>
      <c r="B430" s="3"/>
      <c r="C430" s="7"/>
      <c r="D430" s="3"/>
      <c r="E430" s="3"/>
      <c r="F430" s="7"/>
      <c r="G430" s="4"/>
      <c r="H430" s="3"/>
      <c r="I430" s="3"/>
      <c r="J430" s="3"/>
      <c r="K430" s="3"/>
      <c r="L430" s="3"/>
      <c r="M430" s="3"/>
      <c r="N430" s="3"/>
      <c r="O430" s="3"/>
      <c r="P430" s="3"/>
      <c r="Q430" s="3"/>
      <c r="R430" s="3"/>
      <c r="S430" s="3"/>
      <c r="T430" s="3"/>
      <c r="U430" s="3"/>
      <c r="V430" s="3"/>
      <c r="W430" s="3"/>
      <c r="X430" s="3"/>
      <c r="Y430" s="3"/>
      <c r="Z430" s="3"/>
    </row>
    <row r="431" ht="15.75" customHeight="1">
      <c r="A431" s="3"/>
      <c r="B431" s="3"/>
      <c r="C431" s="7"/>
      <c r="D431" s="3"/>
      <c r="E431" s="3"/>
      <c r="F431" s="7"/>
      <c r="G431" s="4"/>
      <c r="H431" s="3"/>
      <c r="I431" s="3"/>
      <c r="J431" s="3"/>
      <c r="K431" s="3"/>
      <c r="L431" s="3"/>
      <c r="M431" s="3"/>
      <c r="N431" s="3"/>
      <c r="O431" s="3"/>
      <c r="P431" s="3"/>
      <c r="Q431" s="3"/>
      <c r="R431" s="3"/>
      <c r="S431" s="3"/>
      <c r="T431" s="3"/>
      <c r="U431" s="3"/>
      <c r="V431" s="3"/>
      <c r="W431" s="3"/>
      <c r="X431" s="3"/>
      <c r="Y431" s="3"/>
      <c r="Z431" s="3"/>
    </row>
    <row r="432" ht="15.75" customHeight="1">
      <c r="A432" s="3"/>
      <c r="B432" s="3"/>
      <c r="C432" s="7"/>
      <c r="D432" s="3"/>
      <c r="E432" s="3"/>
      <c r="F432" s="7"/>
      <c r="G432" s="4"/>
      <c r="H432" s="3"/>
      <c r="I432" s="3"/>
      <c r="J432" s="3"/>
      <c r="K432" s="3"/>
      <c r="L432" s="3"/>
      <c r="M432" s="3"/>
      <c r="N432" s="3"/>
      <c r="O432" s="3"/>
      <c r="P432" s="3"/>
      <c r="Q432" s="3"/>
      <c r="R432" s="3"/>
      <c r="S432" s="3"/>
      <c r="T432" s="3"/>
      <c r="U432" s="3"/>
      <c r="V432" s="3"/>
      <c r="W432" s="3"/>
      <c r="X432" s="3"/>
      <c r="Y432" s="3"/>
      <c r="Z432" s="3"/>
    </row>
    <row r="433" ht="15.75" customHeight="1">
      <c r="A433" s="3"/>
      <c r="B433" s="3"/>
      <c r="C433" s="7"/>
      <c r="D433" s="3"/>
      <c r="E433" s="3"/>
      <c r="F433" s="7"/>
      <c r="G433" s="4"/>
      <c r="H433" s="3"/>
      <c r="I433" s="3"/>
      <c r="J433" s="3"/>
      <c r="K433" s="3"/>
      <c r="L433" s="3"/>
      <c r="M433" s="3"/>
      <c r="N433" s="3"/>
      <c r="O433" s="3"/>
      <c r="P433" s="3"/>
      <c r="Q433" s="3"/>
      <c r="R433" s="3"/>
      <c r="S433" s="3"/>
      <c r="T433" s="3"/>
      <c r="U433" s="3"/>
      <c r="V433" s="3"/>
      <c r="W433" s="3"/>
      <c r="X433" s="3"/>
      <c r="Y433" s="3"/>
      <c r="Z433" s="3"/>
    </row>
    <row r="434" ht="15.75" customHeight="1">
      <c r="A434" s="3"/>
      <c r="B434" s="3"/>
      <c r="C434" s="7"/>
      <c r="D434" s="3"/>
      <c r="E434" s="3"/>
      <c r="F434" s="7"/>
      <c r="G434" s="4"/>
      <c r="H434" s="3"/>
      <c r="I434" s="3"/>
      <c r="J434" s="3"/>
      <c r="K434" s="3"/>
      <c r="L434" s="3"/>
      <c r="M434" s="3"/>
      <c r="N434" s="3"/>
      <c r="O434" s="3"/>
      <c r="P434" s="3"/>
      <c r="Q434" s="3"/>
      <c r="R434" s="3"/>
      <c r="S434" s="3"/>
      <c r="T434" s="3"/>
      <c r="U434" s="3"/>
      <c r="V434" s="3"/>
      <c r="W434" s="3"/>
      <c r="X434" s="3"/>
      <c r="Y434" s="3"/>
      <c r="Z434" s="3"/>
    </row>
    <row r="435" ht="15.75" customHeight="1">
      <c r="A435" s="3"/>
      <c r="B435" s="3"/>
      <c r="C435" s="7"/>
      <c r="D435" s="3"/>
      <c r="E435" s="3"/>
      <c r="F435" s="7"/>
      <c r="G435" s="4"/>
      <c r="H435" s="3"/>
      <c r="I435" s="3"/>
      <c r="J435" s="3"/>
      <c r="K435" s="3"/>
      <c r="L435" s="3"/>
      <c r="M435" s="3"/>
      <c r="N435" s="3"/>
      <c r="O435" s="3"/>
      <c r="P435" s="3"/>
      <c r="Q435" s="3"/>
      <c r="R435" s="3"/>
      <c r="S435" s="3"/>
      <c r="T435" s="3"/>
      <c r="U435" s="3"/>
      <c r="V435" s="3"/>
      <c r="W435" s="3"/>
      <c r="X435" s="3"/>
      <c r="Y435" s="3"/>
      <c r="Z435" s="3"/>
    </row>
    <row r="436" ht="15.75" customHeight="1">
      <c r="A436" s="3"/>
      <c r="B436" s="3"/>
      <c r="C436" s="7"/>
      <c r="D436" s="3"/>
      <c r="E436" s="3"/>
      <c r="F436" s="7"/>
      <c r="G436" s="4"/>
      <c r="H436" s="3"/>
      <c r="I436" s="3"/>
      <c r="J436" s="3"/>
      <c r="K436" s="3"/>
      <c r="L436" s="3"/>
      <c r="M436" s="3"/>
      <c r="N436" s="3"/>
      <c r="O436" s="3"/>
      <c r="P436" s="3"/>
      <c r="Q436" s="3"/>
      <c r="R436" s="3"/>
      <c r="S436" s="3"/>
      <c r="T436" s="3"/>
      <c r="U436" s="3"/>
      <c r="V436" s="3"/>
      <c r="W436" s="3"/>
      <c r="X436" s="3"/>
      <c r="Y436" s="3"/>
      <c r="Z436" s="3"/>
    </row>
    <row r="437" ht="15.75" customHeight="1">
      <c r="A437" s="3"/>
      <c r="B437" s="3"/>
      <c r="C437" s="7"/>
      <c r="D437" s="3"/>
      <c r="E437" s="3"/>
      <c r="F437" s="7"/>
      <c r="G437" s="4"/>
      <c r="H437" s="3"/>
      <c r="I437" s="3"/>
      <c r="J437" s="3"/>
      <c r="K437" s="3"/>
      <c r="L437" s="3"/>
      <c r="M437" s="3"/>
      <c r="N437" s="3"/>
      <c r="O437" s="3"/>
      <c r="P437" s="3"/>
      <c r="Q437" s="3"/>
      <c r="R437" s="3"/>
      <c r="S437" s="3"/>
      <c r="T437" s="3"/>
      <c r="U437" s="3"/>
      <c r="V437" s="3"/>
      <c r="W437" s="3"/>
      <c r="X437" s="3"/>
      <c r="Y437" s="3"/>
      <c r="Z437" s="3"/>
    </row>
    <row r="438" ht="15.75" customHeight="1">
      <c r="A438" s="3"/>
      <c r="B438" s="3"/>
      <c r="C438" s="7"/>
      <c r="D438" s="3"/>
      <c r="E438" s="3"/>
      <c r="F438" s="7"/>
      <c r="G438" s="4"/>
      <c r="H438" s="3"/>
      <c r="I438" s="3"/>
      <c r="J438" s="3"/>
      <c r="K438" s="3"/>
      <c r="L438" s="3"/>
      <c r="M438" s="3"/>
      <c r="N438" s="3"/>
      <c r="O438" s="3"/>
      <c r="P438" s="3"/>
      <c r="Q438" s="3"/>
      <c r="R438" s="3"/>
      <c r="S438" s="3"/>
      <c r="T438" s="3"/>
      <c r="U438" s="3"/>
      <c r="V438" s="3"/>
      <c r="W438" s="3"/>
      <c r="X438" s="3"/>
      <c r="Y438" s="3"/>
      <c r="Z438" s="3"/>
    </row>
    <row r="439" ht="15.75" customHeight="1">
      <c r="A439" s="3"/>
      <c r="B439" s="3"/>
      <c r="C439" s="7"/>
      <c r="D439" s="3"/>
      <c r="E439" s="3"/>
      <c r="F439" s="7"/>
      <c r="G439" s="4"/>
      <c r="H439" s="3"/>
      <c r="I439" s="3"/>
      <c r="J439" s="3"/>
      <c r="K439" s="3"/>
      <c r="L439" s="3"/>
      <c r="M439" s="3"/>
      <c r="N439" s="3"/>
      <c r="O439" s="3"/>
      <c r="P439" s="3"/>
      <c r="Q439" s="3"/>
      <c r="R439" s="3"/>
      <c r="S439" s="3"/>
      <c r="T439" s="3"/>
      <c r="U439" s="3"/>
      <c r="V439" s="3"/>
      <c r="W439" s="3"/>
      <c r="X439" s="3"/>
      <c r="Y439" s="3"/>
      <c r="Z439" s="3"/>
    </row>
    <row r="440" ht="15.75" customHeight="1">
      <c r="A440" s="3"/>
      <c r="B440" s="3"/>
      <c r="C440" s="7"/>
      <c r="D440" s="3"/>
      <c r="E440" s="3"/>
      <c r="F440" s="7"/>
      <c r="G440" s="4"/>
      <c r="H440" s="3"/>
      <c r="I440" s="3"/>
      <c r="J440" s="3"/>
      <c r="K440" s="3"/>
      <c r="L440" s="3"/>
      <c r="M440" s="3"/>
      <c r="N440" s="3"/>
      <c r="O440" s="3"/>
      <c r="P440" s="3"/>
      <c r="Q440" s="3"/>
      <c r="R440" s="3"/>
      <c r="S440" s="3"/>
      <c r="T440" s="3"/>
      <c r="U440" s="3"/>
      <c r="V440" s="3"/>
      <c r="W440" s="3"/>
      <c r="X440" s="3"/>
      <c r="Y440" s="3"/>
      <c r="Z440" s="3"/>
    </row>
    <row r="441" ht="15.75" customHeight="1">
      <c r="A441" s="3"/>
      <c r="B441" s="3"/>
      <c r="C441" s="7"/>
      <c r="D441" s="3"/>
      <c r="E441" s="3"/>
      <c r="F441" s="7"/>
      <c r="G441" s="4"/>
      <c r="H441" s="3"/>
      <c r="I441" s="3"/>
      <c r="J441" s="3"/>
      <c r="K441" s="3"/>
      <c r="L441" s="3"/>
      <c r="M441" s="3"/>
      <c r="N441" s="3"/>
      <c r="O441" s="3"/>
      <c r="P441" s="3"/>
      <c r="Q441" s="3"/>
      <c r="R441" s="3"/>
      <c r="S441" s="3"/>
      <c r="T441" s="3"/>
      <c r="U441" s="3"/>
      <c r="V441" s="3"/>
      <c r="W441" s="3"/>
      <c r="X441" s="3"/>
      <c r="Y441" s="3"/>
      <c r="Z441" s="3"/>
    </row>
    <row r="442" ht="15.75" customHeight="1">
      <c r="A442" s="3"/>
      <c r="B442" s="3"/>
      <c r="C442" s="7"/>
      <c r="D442" s="3"/>
      <c r="E442" s="3"/>
      <c r="F442" s="7"/>
      <c r="G442" s="4"/>
      <c r="H442" s="3"/>
      <c r="I442" s="3"/>
      <c r="J442" s="3"/>
      <c r="K442" s="3"/>
      <c r="L442" s="3"/>
      <c r="M442" s="3"/>
      <c r="N442" s="3"/>
      <c r="O442" s="3"/>
      <c r="P442" s="3"/>
      <c r="Q442" s="3"/>
      <c r="R442" s="3"/>
      <c r="S442" s="3"/>
      <c r="T442" s="3"/>
      <c r="U442" s="3"/>
      <c r="V442" s="3"/>
      <c r="W442" s="3"/>
      <c r="X442" s="3"/>
      <c r="Y442" s="3"/>
      <c r="Z442" s="3"/>
    </row>
    <row r="443" ht="15.75" customHeight="1">
      <c r="A443" s="3"/>
      <c r="B443" s="3"/>
      <c r="C443" s="7"/>
      <c r="D443" s="3"/>
      <c r="E443" s="3"/>
      <c r="F443" s="7"/>
      <c r="G443" s="4"/>
      <c r="H443" s="3"/>
      <c r="I443" s="3"/>
      <c r="J443" s="3"/>
      <c r="K443" s="3"/>
      <c r="L443" s="3"/>
      <c r="M443" s="3"/>
      <c r="N443" s="3"/>
      <c r="O443" s="3"/>
      <c r="P443" s="3"/>
      <c r="Q443" s="3"/>
      <c r="R443" s="3"/>
      <c r="S443" s="3"/>
      <c r="T443" s="3"/>
      <c r="U443" s="3"/>
      <c r="V443" s="3"/>
      <c r="W443" s="3"/>
      <c r="X443" s="3"/>
      <c r="Y443" s="3"/>
      <c r="Z443" s="3"/>
    </row>
    <row r="444" ht="15.75" customHeight="1">
      <c r="A444" s="3"/>
      <c r="B444" s="3"/>
      <c r="C444" s="7"/>
      <c r="D444" s="3"/>
      <c r="E444" s="3"/>
      <c r="F444" s="7"/>
      <c r="G444" s="4"/>
      <c r="H444" s="3"/>
      <c r="I444" s="3"/>
      <c r="J444" s="3"/>
      <c r="K444" s="3"/>
      <c r="L444" s="3"/>
      <c r="M444" s="3"/>
      <c r="N444" s="3"/>
      <c r="O444" s="3"/>
      <c r="P444" s="3"/>
      <c r="Q444" s="3"/>
      <c r="R444" s="3"/>
      <c r="S444" s="3"/>
      <c r="T444" s="3"/>
      <c r="U444" s="3"/>
      <c r="V444" s="3"/>
      <c r="W444" s="3"/>
      <c r="X444" s="3"/>
      <c r="Y444" s="3"/>
      <c r="Z444" s="3"/>
    </row>
    <row r="445" ht="15.75" customHeight="1">
      <c r="A445" s="3"/>
      <c r="B445" s="3"/>
      <c r="C445" s="7"/>
      <c r="D445" s="3"/>
      <c r="E445" s="3"/>
      <c r="F445" s="7"/>
      <c r="G445" s="4"/>
      <c r="H445" s="3"/>
      <c r="I445" s="3"/>
      <c r="J445" s="3"/>
      <c r="K445" s="3"/>
      <c r="L445" s="3"/>
      <c r="M445" s="3"/>
      <c r="N445" s="3"/>
      <c r="O445" s="3"/>
      <c r="P445" s="3"/>
      <c r="Q445" s="3"/>
      <c r="R445" s="3"/>
      <c r="S445" s="3"/>
      <c r="T445" s="3"/>
      <c r="U445" s="3"/>
      <c r="V445" s="3"/>
      <c r="W445" s="3"/>
      <c r="X445" s="3"/>
      <c r="Y445" s="3"/>
      <c r="Z445" s="3"/>
    </row>
    <row r="446" ht="15.75" customHeight="1">
      <c r="A446" s="3"/>
      <c r="B446" s="3"/>
      <c r="C446" s="7"/>
      <c r="D446" s="3"/>
      <c r="E446" s="3"/>
      <c r="F446" s="7"/>
      <c r="G446" s="4"/>
      <c r="H446" s="3"/>
      <c r="I446" s="3"/>
      <c r="J446" s="3"/>
      <c r="K446" s="3"/>
      <c r="L446" s="3"/>
      <c r="M446" s="3"/>
      <c r="N446" s="3"/>
      <c r="O446" s="3"/>
      <c r="P446" s="3"/>
      <c r="Q446" s="3"/>
      <c r="R446" s="3"/>
      <c r="S446" s="3"/>
      <c r="T446" s="3"/>
      <c r="U446" s="3"/>
      <c r="V446" s="3"/>
      <c r="W446" s="3"/>
      <c r="X446" s="3"/>
      <c r="Y446" s="3"/>
      <c r="Z446" s="3"/>
    </row>
    <row r="447" ht="15.75" customHeight="1">
      <c r="A447" s="3"/>
      <c r="B447" s="3"/>
      <c r="C447" s="7"/>
      <c r="D447" s="3"/>
      <c r="E447" s="3"/>
      <c r="F447" s="7"/>
      <c r="G447" s="4"/>
      <c r="H447" s="3"/>
      <c r="I447" s="3"/>
      <c r="J447" s="3"/>
      <c r="K447" s="3"/>
      <c r="L447" s="3"/>
      <c r="M447" s="3"/>
      <c r="N447" s="3"/>
      <c r="O447" s="3"/>
      <c r="P447" s="3"/>
      <c r="Q447" s="3"/>
      <c r="R447" s="3"/>
      <c r="S447" s="3"/>
      <c r="T447" s="3"/>
      <c r="U447" s="3"/>
      <c r="V447" s="3"/>
      <c r="W447" s="3"/>
      <c r="X447" s="3"/>
      <c r="Y447" s="3"/>
      <c r="Z447" s="3"/>
    </row>
    <row r="448" ht="15.75" customHeight="1">
      <c r="A448" s="3"/>
      <c r="B448" s="3"/>
      <c r="C448" s="7"/>
      <c r="D448" s="3"/>
      <c r="E448" s="3"/>
      <c r="F448" s="7"/>
      <c r="G448" s="4"/>
      <c r="H448" s="3"/>
      <c r="I448" s="3"/>
      <c r="J448" s="3"/>
      <c r="K448" s="3"/>
      <c r="L448" s="3"/>
      <c r="M448" s="3"/>
      <c r="N448" s="3"/>
      <c r="O448" s="3"/>
      <c r="P448" s="3"/>
      <c r="Q448" s="3"/>
      <c r="R448" s="3"/>
      <c r="S448" s="3"/>
      <c r="T448" s="3"/>
      <c r="U448" s="3"/>
      <c r="V448" s="3"/>
      <c r="W448" s="3"/>
      <c r="X448" s="3"/>
      <c r="Y448" s="3"/>
      <c r="Z448" s="3"/>
    </row>
    <row r="449" ht="15.75" customHeight="1">
      <c r="A449" s="3"/>
      <c r="B449" s="3"/>
      <c r="C449" s="7"/>
      <c r="D449" s="3"/>
      <c r="E449" s="3"/>
      <c r="F449" s="7"/>
      <c r="G449" s="4"/>
      <c r="H449" s="3"/>
      <c r="I449" s="3"/>
      <c r="J449" s="3"/>
      <c r="K449" s="3"/>
      <c r="L449" s="3"/>
      <c r="M449" s="3"/>
      <c r="N449" s="3"/>
      <c r="O449" s="3"/>
      <c r="P449" s="3"/>
      <c r="Q449" s="3"/>
      <c r="R449" s="3"/>
      <c r="S449" s="3"/>
      <c r="T449" s="3"/>
      <c r="U449" s="3"/>
      <c r="V449" s="3"/>
      <c r="W449" s="3"/>
      <c r="X449" s="3"/>
      <c r="Y449" s="3"/>
      <c r="Z449" s="3"/>
    </row>
    <row r="450" ht="15.75" customHeight="1">
      <c r="A450" s="3"/>
      <c r="B450" s="3"/>
      <c r="C450" s="7"/>
      <c r="D450" s="3"/>
      <c r="E450" s="3"/>
      <c r="F450" s="7"/>
      <c r="G450" s="4"/>
      <c r="H450" s="3"/>
      <c r="I450" s="3"/>
      <c r="J450" s="3"/>
      <c r="K450" s="3"/>
      <c r="L450" s="3"/>
      <c r="M450" s="3"/>
      <c r="N450" s="3"/>
      <c r="O450" s="3"/>
      <c r="P450" s="3"/>
      <c r="Q450" s="3"/>
      <c r="R450" s="3"/>
      <c r="S450" s="3"/>
      <c r="T450" s="3"/>
      <c r="U450" s="3"/>
      <c r="V450" s="3"/>
      <c r="W450" s="3"/>
      <c r="X450" s="3"/>
      <c r="Y450" s="3"/>
      <c r="Z450" s="3"/>
    </row>
    <row r="451" ht="15.75" customHeight="1">
      <c r="A451" s="3"/>
      <c r="B451" s="3"/>
      <c r="C451" s="7"/>
      <c r="D451" s="3"/>
      <c r="E451" s="3"/>
      <c r="F451" s="7"/>
      <c r="G451" s="4"/>
      <c r="H451" s="3"/>
      <c r="I451" s="3"/>
      <c r="J451" s="3"/>
      <c r="K451" s="3"/>
      <c r="L451" s="3"/>
      <c r="M451" s="3"/>
      <c r="N451" s="3"/>
      <c r="O451" s="3"/>
      <c r="P451" s="3"/>
      <c r="Q451" s="3"/>
      <c r="R451" s="3"/>
      <c r="S451" s="3"/>
      <c r="T451" s="3"/>
      <c r="U451" s="3"/>
      <c r="V451" s="3"/>
      <c r="W451" s="3"/>
      <c r="X451" s="3"/>
      <c r="Y451" s="3"/>
      <c r="Z451" s="3"/>
    </row>
    <row r="452" ht="15.75" customHeight="1">
      <c r="A452" s="3"/>
      <c r="B452" s="3"/>
      <c r="C452" s="7"/>
      <c r="D452" s="3"/>
      <c r="E452" s="3"/>
      <c r="F452" s="7"/>
      <c r="G452" s="4"/>
      <c r="H452" s="3"/>
      <c r="I452" s="3"/>
      <c r="J452" s="3"/>
      <c r="K452" s="3"/>
      <c r="L452" s="3"/>
      <c r="M452" s="3"/>
      <c r="N452" s="3"/>
      <c r="O452" s="3"/>
      <c r="P452" s="3"/>
      <c r="Q452" s="3"/>
      <c r="R452" s="3"/>
      <c r="S452" s="3"/>
      <c r="T452" s="3"/>
      <c r="U452" s="3"/>
      <c r="V452" s="3"/>
      <c r="W452" s="3"/>
      <c r="X452" s="3"/>
      <c r="Y452" s="3"/>
      <c r="Z452" s="3"/>
    </row>
    <row r="453" ht="15.75" customHeight="1">
      <c r="A453" s="3"/>
      <c r="B453" s="3"/>
      <c r="C453" s="7"/>
      <c r="D453" s="3"/>
      <c r="E453" s="3"/>
      <c r="F453" s="7"/>
      <c r="G453" s="4"/>
      <c r="H453" s="3"/>
      <c r="I453" s="3"/>
      <c r="J453" s="3"/>
      <c r="K453" s="3"/>
      <c r="L453" s="3"/>
      <c r="M453" s="3"/>
      <c r="N453" s="3"/>
      <c r="O453" s="3"/>
      <c r="P453" s="3"/>
      <c r="Q453" s="3"/>
      <c r="R453" s="3"/>
      <c r="S453" s="3"/>
      <c r="T453" s="3"/>
      <c r="U453" s="3"/>
      <c r="V453" s="3"/>
      <c r="W453" s="3"/>
      <c r="X453" s="3"/>
      <c r="Y453" s="3"/>
      <c r="Z453" s="3"/>
    </row>
    <row r="454" ht="15.75" customHeight="1">
      <c r="A454" s="3"/>
      <c r="B454" s="3"/>
      <c r="C454" s="7"/>
      <c r="D454" s="3"/>
      <c r="E454" s="3"/>
      <c r="F454" s="7"/>
      <c r="G454" s="4"/>
      <c r="H454" s="3"/>
      <c r="I454" s="3"/>
      <c r="J454" s="3"/>
      <c r="K454" s="3"/>
      <c r="L454" s="3"/>
      <c r="M454" s="3"/>
      <c r="N454" s="3"/>
      <c r="O454" s="3"/>
      <c r="P454" s="3"/>
      <c r="Q454" s="3"/>
      <c r="R454" s="3"/>
      <c r="S454" s="3"/>
      <c r="T454" s="3"/>
      <c r="U454" s="3"/>
      <c r="V454" s="3"/>
      <c r="W454" s="3"/>
      <c r="X454" s="3"/>
      <c r="Y454" s="3"/>
      <c r="Z454" s="3"/>
    </row>
    <row r="455" ht="15.75" customHeight="1">
      <c r="A455" s="3"/>
      <c r="B455" s="3"/>
      <c r="C455" s="7"/>
      <c r="D455" s="3"/>
      <c r="E455" s="3"/>
      <c r="F455" s="7"/>
      <c r="G455" s="4"/>
      <c r="H455" s="3"/>
      <c r="I455" s="3"/>
      <c r="J455" s="3"/>
      <c r="K455" s="3"/>
      <c r="L455" s="3"/>
      <c r="M455" s="3"/>
      <c r="N455" s="3"/>
      <c r="O455" s="3"/>
      <c r="P455" s="3"/>
      <c r="Q455" s="3"/>
      <c r="R455" s="3"/>
      <c r="S455" s="3"/>
      <c r="T455" s="3"/>
      <c r="U455" s="3"/>
      <c r="V455" s="3"/>
      <c r="W455" s="3"/>
      <c r="X455" s="3"/>
      <c r="Y455" s="3"/>
      <c r="Z455" s="3"/>
    </row>
    <row r="456" ht="15.75" customHeight="1">
      <c r="A456" s="3"/>
      <c r="B456" s="3"/>
      <c r="C456" s="7"/>
      <c r="D456" s="3"/>
      <c r="E456" s="3"/>
      <c r="F456" s="7"/>
      <c r="G456" s="4"/>
      <c r="H456" s="3"/>
      <c r="I456" s="3"/>
      <c r="J456" s="3"/>
      <c r="K456" s="3"/>
      <c r="L456" s="3"/>
      <c r="M456" s="3"/>
      <c r="N456" s="3"/>
      <c r="O456" s="3"/>
      <c r="P456" s="3"/>
      <c r="Q456" s="3"/>
      <c r="R456" s="3"/>
      <c r="S456" s="3"/>
      <c r="T456" s="3"/>
      <c r="U456" s="3"/>
      <c r="V456" s="3"/>
      <c r="W456" s="3"/>
      <c r="X456" s="3"/>
      <c r="Y456" s="3"/>
      <c r="Z456" s="3"/>
    </row>
    <row r="457" ht="15.75" customHeight="1">
      <c r="A457" s="3"/>
      <c r="B457" s="3"/>
      <c r="C457" s="7"/>
      <c r="D457" s="3"/>
      <c r="E457" s="3"/>
      <c r="F457" s="7"/>
      <c r="G457" s="4"/>
      <c r="H457" s="3"/>
      <c r="I457" s="3"/>
      <c r="J457" s="3"/>
      <c r="K457" s="3"/>
      <c r="L457" s="3"/>
      <c r="M457" s="3"/>
      <c r="N457" s="3"/>
      <c r="O457" s="3"/>
      <c r="P457" s="3"/>
      <c r="Q457" s="3"/>
      <c r="R457" s="3"/>
      <c r="S457" s="3"/>
      <c r="T457" s="3"/>
      <c r="U457" s="3"/>
      <c r="V457" s="3"/>
      <c r="W457" s="3"/>
      <c r="X457" s="3"/>
      <c r="Y457" s="3"/>
      <c r="Z457" s="3"/>
    </row>
    <row r="458" ht="15.75" customHeight="1">
      <c r="A458" s="3"/>
      <c r="B458" s="3"/>
      <c r="C458" s="7"/>
      <c r="D458" s="3"/>
      <c r="E458" s="3"/>
      <c r="F458" s="7"/>
      <c r="G458" s="4"/>
      <c r="H458" s="3"/>
      <c r="I458" s="3"/>
      <c r="J458" s="3"/>
      <c r="K458" s="3"/>
      <c r="L458" s="3"/>
      <c r="M458" s="3"/>
      <c r="N458" s="3"/>
      <c r="O458" s="3"/>
      <c r="P458" s="3"/>
      <c r="Q458" s="3"/>
      <c r="R458" s="3"/>
      <c r="S458" s="3"/>
      <c r="T458" s="3"/>
      <c r="U458" s="3"/>
      <c r="V458" s="3"/>
      <c r="W458" s="3"/>
      <c r="X458" s="3"/>
      <c r="Y458" s="3"/>
      <c r="Z458" s="3"/>
    </row>
    <row r="459" ht="15.75" customHeight="1">
      <c r="A459" s="3"/>
      <c r="B459" s="3"/>
      <c r="C459" s="7"/>
      <c r="D459" s="3"/>
      <c r="E459" s="3"/>
      <c r="F459" s="7"/>
      <c r="G459" s="4"/>
      <c r="H459" s="3"/>
      <c r="I459" s="3"/>
      <c r="J459" s="3"/>
      <c r="K459" s="3"/>
      <c r="L459" s="3"/>
      <c r="M459" s="3"/>
      <c r="N459" s="3"/>
      <c r="O459" s="3"/>
      <c r="P459" s="3"/>
      <c r="Q459" s="3"/>
      <c r="R459" s="3"/>
      <c r="S459" s="3"/>
      <c r="T459" s="3"/>
      <c r="U459" s="3"/>
      <c r="V459" s="3"/>
      <c r="W459" s="3"/>
      <c r="X459" s="3"/>
      <c r="Y459" s="3"/>
      <c r="Z459" s="3"/>
    </row>
    <row r="460" ht="15.75" customHeight="1">
      <c r="A460" s="3"/>
      <c r="B460" s="3"/>
      <c r="C460" s="7"/>
      <c r="D460" s="3"/>
      <c r="E460" s="3"/>
      <c r="F460" s="7"/>
      <c r="G460" s="4"/>
      <c r="H460" s="3"/>
      <c r="I460" s="3"/>
      <c r="J460" s="3"/>
      <c r="K460" s="3"/>
      <c r="L460" s="3"/>
      <c r="M460" s="3"/>
      <c r="N460" s="3"/>
      <c r="O460" s="3"/>
      <c r="P460" s="3"/>
      <c r="Q460" s="3"/>
      <c r="R460" s="3"/>
      <c r="S460" s="3"/>
      <c r="T460" s="3"/>
      <c r="U460" s="3"/>
      <c r="V460" s="3"/>
      <c r="W460" s="3"/>
      <c r="X460" s="3"/>
      <c r="Y460" s="3"/>
      <c r="Z460" s="3"/>
    </row>
    <row r="461" ht="15.75" customHeight="1">
      <c r="A461" s="3"/>
      <c r="B461" s="3"/>
      <c r="C461" s="7"/>
      <c r="D461" s="3"/>
      <c r="E461" s="3"/>
      <c r="F461" s="7"/>
      <c r="G461" s="4"/>
      <c r="H461" s="3"/>
      <c r="I461" s="3"/>
      <c r="J461" s="3"/>
      <c r="K461" s="3"/>
      <c r="L461" s="3"/>
      <c r="M461" s="3"/>
      <c r="N461" s="3"/>
      <c r="O461" s="3"/>
      <c r="P461" s="3"/>
      <c r="Q461" s="3"/>
      <c r="R461" s="3"/>
      <c r="S461" s="3"/>
      <c r="T461" s="3"/>
      <c r="U461" s="3"/>
      <c r="V461" s="3"/>
      <c r="W461" s="3"/>
      <c r="X461" s="3"/>
      <c r="Y461" s="3"/>
      <c r="Z461" s="3"/>
    </row>
    <row r="462" ht="15.75" customHeight="1">
      <c r="A462" s="3"/>
      <c r="B462" s="3"/>
      <c r="C462" s="7"/>
      <c r="D462" s="3"/>
      <c r="E462" s="3"/>
      <c r="F462" s="7"/>
      <c r="G462" s="4"/>
      <c r="H462" s="3"/>
      <c r="I462" s="3"/>
      <c r="J462" s="3"/>
      <c r="K462" s="3"/>
      <c r="L462" s="3"/>
      <c r="M462" s="3"/>
      <c r="N462" s="3"/>
      <c r="O462" s="3"/>
      <c r="P462" s="3"/>
      <c r="Q462" s="3"/>
      <c r="R462" s="3"/>
      <c r="S462" s="3"/>
      <c r="T462" s="3"/>
      <c r="U462" s="3"/>
      <c r="V462" s="3"/>
      <c r="W462" s="3"/>
      <c r="X462" s="3"/>
      <c r="Y462" s="3"/>
      <c r="Z462" s="3"/>
    </row>
    <row r="463" ht="15.75" customHeight="1">
      <c r="A463" s="3"/>
      <c r="B463" s="3"/>
      <c r="C463" s="7"/>
      <c r="D463" s="3"/>
      <c r="E463" s="3"/>
      <c r="F463" s="7"/>
      <c r="G463" s="4"/>
      <c r="H463" s="3"/>
      <c r="I463" s="3"/>
      <c r="J463" s="3"/>
      <c r="K463" s="3"/>
      <c r="L463" s="3"/>
      <c r="M463" s="3"/>
      <c r="N463" s="3"/>
      <c r="O463" s="3"/>
      <c r="P463" s="3"/>
      <c r="Q463" s="3"/>
      <c r="R463" s="3"/>
      <c r="S463" s="3"/>
      <c r="T463" s="3"/>
      <c r="U463" s="3"/>
      <c r="V463" s="3"/>
      <c r="W463" s="3"/>
      <c r="X463" s="3"/>
      <c r="Y463" s="3"/>
      <c r="Z463" s="3"/>
    </row>
    <row r="464" ht="15.75" customHeight="1">
      <c r="A464" s="3"/>
      <c r="B464" s="3"/>
      <c r="C464" s="7"/>
      <c r="D464" s="3"/>
      <c r="E464" s="3"/>
      <c r="F464" s="7"/>
      <c r="G464" s="4"/>
      <c r="H464" s="3"/>
      <c r="I464" s="3"/>
      <c r="J464" s="3"/>
      <c r="K464" s="3"/>
      <c r="L464" s="3"/>
      <c r="M464" s="3"/>
      <c r="N464" s="3"/>
      <c r="O464" s="3"/>
      <c r="P464" s="3"/>
      <c r="Q464" s="3"/>
      <c r="R464" s="3"/>
      <c r="S464" s="3"/>
      <c r="T464" s="3"/>
      <c r="U464" s="3"/>
      <c r="V464" s="3"/>
      <c r="W464" s="3"/>
      <c r="X464" s="3"/>
      <c r="Y464" s="3"/>
      <c r="Z464" s="3"/>
    </row>
    <row r="465" ht="15.75" customHeight="1">
      <c r="A465" s="3"/>
      <c r="B465" s="3"/>
      <c r="C465" s="7"/>
      <c r="D465" s="3"/>
      <c r="E465" s="3"/>
      <c r="F465" s="7"/>
      <c r="G465" s="4"/>
      <c r="H465" s="3"/>
      <c r="I465" s="3"/>
      <c r="J465" s="3"/>
      <c r="K465" s="3"/>
      <c r="L465" s="3"/>
      <c r="M465" s="3"/>
      <c r="N465" s="3"/>
      <c r="O465" s="3"/>
      <c r="P465" s="3"/>
      <c r="Q465" s="3"/>
      <c r="R465" s="3"/>
      <c r="S465" s="3"/>
      <c r="T465" s="3"/>
      <c r="U465" s="3"/>
      <c r="V465" s="3"/>
      <c r="W465" s="3"/>
      <c r="X465" s="3"/>
      <c r="Y465" s="3"/>
      <c r="Z465" s="3"/>
    </row>
    <row r="466" ht="15.75" customHeight="1">
      <c r="A466" s="3"/>
      <c r="B466" s="3"/>
      <c r="C466" s="7"/>
      <c r="D466" s="3"/>
      <c r="E466" s="3"/>
      <c r="F466" s="7"/>
      <c r="G466" s="4"/>
      <c r="H466" s="3"/>
      <c r="I466" s="3"/>
      <c r="J466" s="3"/>
      <c r="K466" s="3"/>
      <c r="L466" s="3"/>
      <c r="M466" s="3"/>
      <c r="N466" s="3"/>
      <c r="O466" s="3"/>
      <c r="P466" s="3"/>
      <c r="Q466" s="3"/>
      <c r="R466" s="3"/>
      <c r="S466" s="3"/>
      <c r="T466" s="3"/>
      <c r="U466" s="3"/>
      <c r="V466" s="3"/>
      <c r="W466" s="3"/>
      <c r="X466" s="3"/>
      <c r="Y466" s="3"/>
      <c r="Z466" s="3"/>
    </row>
    <row r="467" ht="15.75" customHeight="1">
      <c r="A467" s="3"/>
      <c r="B467" s="3"/>
      <c r="C467" s="7"/>
      <c r="D467" s="3"/>
      <c r="E467" s="3"/>
      <c r="F467" s="7"/>
      <c r="G467" s="4"/>
      <c r="H467" s="3"/>
      <c r="I467" s="3"/>
      <c r="J467" s="3"/>
      <c r="K467" s="3"/>
      <c r="L467" s="3"/>
      <c r="M467" s="3"/>
      <c r="N467" s="3"/>
      <c r="O467" s="3"/>
      <c r="P467" s="3"/>
      <c r="Q467" s="3"/>
      <c r="R467" s="3"/>
      <c r="S467" s="3"/>
      <c r="T467" s="3"/>
      <c r="U467" s="3"/>
      <c r="V467" s="3"/>
      <c r="W467" s="3"/>
      <c r="X467" s="3"/>
      <c r="Y467" s="3"/>
      <c r="Z467" s="3"/>
    </row>
    <row r="468" ht="15.75" customHeight="1">
      <c r="A468" s="3"/>
      <c r="B468" s="3"/>
      <c r="C468" s="7"/>
      <c r="D468" s="3"/>
      <c r="E468" s="3"/>
      <c r="F468" s="7"/>
      <c r="G468" s="4"/>
      <c r="H468" s="3"/>
      <c r="I468" s="3"/>
      <c r="J468" s="3"/>
      <c r="K468" s="3"/>
      <c r="L468" s="3"/>
      <c r="M468" s="3"/>
      <c r="N468" s="3"/>
      <c r="O468" s="3"/>
      <c r="P468" s="3"/>
      <c r="Q468" s="3"/>
      <c r="R468" s="3"/>
      <c r="S468" s="3"/>
      <c r="T468" s="3"/>
      <c r="U468" s="3"/>
      <c r="V468" s="3"/>
      <c r="W468" s="3"/>
      <c r="X468" s="3"/>
      <c r="Y468" s="3"/>
      <c r="Z468" s="3"/>
    </row>
    <row r="469" ht="15.75" customHeight="1">
      <c r="A469" s="3"/>
      <c r="B469" s="3"/>
      <c r="C469" s="7"/>
      <c r="D469" s="3"/>
      <c r="E469" s="3"/>
      <c r="F469" s="7"/>
      <c r="G469" s="4"/>
      <c r="H469" s="3"/>
      <c r="I469" s="3"/>
      <c r="J469" s="3"/>
      <c r="K469" s="3"/>
      <c r="L469" s="3"/>
      <c r="M469" s="3"/>
      <c r="N469" s="3"/>
      <c r="O469" s="3"/>
      <c r="P469" s="3"/>
      <c r="Q469" s="3"/>
      <c r="R469" s="3"/>
      <c r="S469" s="3"/>
      <c r="T469" s="3"/>
      <c r="U469" s="3"/>
      <c r="V469" s="3"/>
      <c r="W469" s="3"/>
      <c r="X469" s="3"/>
      <c r="Y469" s="3"/>
      <c r="Z469" s="3"/>
    </row>
    <row r="470" ht="15.75" customHeight="1">
      <c r="A470" s="3"/>
      <c r="B470" s="3"/>
      <c r="C470" s="7"/>
      <c r="D470" s="3"/>
      <c r="E470" s="3"/>
      <c r="F470" s="7"/>
      <c r="G470" s="4"/>
      <c r="H470" s="3"/>
      <c r="I470" s="3"/>
      <c r="J470" s="3"/>
      <c r="K470" s="3"/>
      <c r="L470" s="3"/>
      <c r="M470" s="3"/>
      <c r="N470" s="3"/>
      <c r="O470" s="3"/>
      <c r="P470" s="3"/>
      <c r="Q470" s="3"/>
      <c r="R470" s="3"/>
      <c r="S470" s="3"/>
      <c r="T470" s="3"/>
      <c r="U470" s="3"/>
      <c r="V470" s="3"/>
      <c r="W470" s="3"/>
      <c r="X470" s="3"/>
      <c r="Y470" s="3"/>
      <c r="Z470" s="3"/>
    </row>
    <row r="471" ht="15.75" customHeight="1">
      <c r="A471" s="3"/>
      <c r="B471" s="3"/>
      <c r="C471" s="7"/>
      <c r="D471" s="3"/>
      <c r="E471" s="3"/>
      <c r="F471" s="7"/>
      <c r="G471" s="4"/>
      <c r="H471" s="3"/>
      <c r="I471" s="3"/>
      <c r="J471" s="3"/>
      <c r="K471" s="3"/>
      <c r="L471" s="3"/>
      <c r="M471" s="3"/>
      <c r="N471" s="3"/>
      <c r="O471" s="3"/>
      <c r="P471" s="3"/>
      <c r="Q471" s="3"/>
      <c r="R471" s="3"/>
      <c r="S471" s="3"/>
      <c r="T471" s="3"/>
      <c r="U471" s="3"/>
      <c r="V471" s="3"/>
      <c r="W471" s="3"/>
      <c r="X471" s="3"/>
      <c r="Y471" s="3"/>
      <c r="Z471" s="3"/>
    </row>
    <row r="472" ht="15.75" customHeight="1">
      <c r="A472" s="3"/>
      <c r="B472" s="3"/>
      <c r="C472" s="7"/>
      <c r="D472" s="3"/>
      <c r="E472" s="3"/>
      <c r="F472" s="7"/>
      <c r="G472" s="4"/>
      <c r="H472" s="3"/>
      <c r="I472" s="3"/>
      <c r="J472" s="3"/>
      <c r="K472" s="3"/>
      <c r="L472" s="3"/>
      <c r="M472" s="3"/>
      <c r="N472" s="3"/>
      <c r="O472" s="3"/>
      <c r="P472" s="3"/>
      <c r="Q472" s="3"/>
      <c r="R472" s="3"/>
      <c r="S472" s="3"/>
      <c r="T472" s="3"/>
      <c r="U472" s="3"/>
      <c r="V472" s="3"/>
      <c r="W472" s="3"/>
      <c r="X472" s="3"/>
      <c r="Y472" s="3"/>
      <c r="Z472" s="3"/>
    </row>
    <row r="473" ht="15.75" customHeight="1">
      <c r="A473" s="3"/>
      <c r="B473" s="3"/>
      <c r="C473" s="7"/>
      <c r="D473" s="3"/>
      <c r="E473" s="3"/>
      <c r="F473" s="7"/>
      <c r="G473" s="4"/>
      <c r="H473" s="3"/>
      <c r="I473" s="3"/>
      <c r="J473" s="3"/>
      <c r="K473" s="3"/>
      <c r="L473" s="3"/>
      <c r="M473" s="3"/>
      <c r="N473" s="3"/>
      <c r="O473" s="3"/>
      <c r="P473" s="3"/>
      <c r="Q473" s="3"/>
      <c r="R473" s="3"/>
      <c r="S473" s="3"/>
      <c r="T473" s="3"/>
      <c r="U473" s="3"/>
      <c r="V473" s="3"/>
      <c r="W473" s="3"/>
      <c r="X473" s="3"/>
      <c r="Y473" s="3"/>
      <c r="Z473" s="3"/>
    </row>
    <row r="474" ht="15.75" customHeight="1">
      <c r="A474" s="3"/>
      <c r="B474" s="3"/>
      <c r="C474" s="7"/>
      <c r="D474" s="3"/>
      <c r="E474" s="3"/>
      <c r="F474" s="7"/>
      <c r="G474" s="4"/>
      <c r="H474" s="3"/>
      <c r="I474" s="3"/>
      <c r="J474" s="3"/>
      <c r="K474" s="3"/>
      <c r="L474" s="3"/>
      <c r="M474" s="3"/>
      <c r="N474" s="3"/>
      <c r="O474" s="3"/>
      <c r="P474" s="3"/>
      <c r="Q474" s="3"/>
      <c r="R474" s="3"/>
      <c r="S474" s="3"/>
      <c r="T474" s="3"/>
      <c r="U474" s="3"/>
      <c r="V474" s="3"/>
      <c r="W474" s="3"/>
      <c r="X474" s="3"/>
      <c r="Y474" s="3"/>
      <c r="Z474" s="3"/>
    </row>
    <row r="475" ht="15.75" customHeight="1">
      <c r="A475" s="3"/>
      <c r="B475" s="3"/>
      <c r="C475" s="7"/>
      <c r="D475" s="3"/>
      <c r="E475" s="3"/>
      <c r="F475" s="7"/>
      <c r="G475" s="4"/>
      <c r="H475" s="3"/>
      <c r="I475" s="3"/>
      <c r="J475" s="3"/>
      <c r="K475" s="3"/>
      <c r="L475" s="3"/>
      <c r="M475" s="3"/>
      <c r="N475" s="3"/>
      <c r="O475" s="3"/>
      <c r="P475" s="3"/>
      <c r="Q475" s="3"/>
      <c r="R475" s="3"/>
      <c r="S475" s="3"/>
      <c r="T475" s="3"/>
      <c r="U475" s="3"/>
      <c r="V475" s="3"/>
      <c r="W475" s="3"/>
      <c r="X475" s="3"/>
      <c r="Y475" s="3"/>
      <c r="Z475" s="3"/>
    </row>
    <row r="476" ht="15.75" customHeight="1">
      <c r="A476" s="3"/>
      <c r="B476" s="3"/>
      <c r="C476" s="7"/>
      <c r="D476" s="3"/>
      <c r="E476" s="3"/>
      <c r="F476" s="7"/>
      <c r="G476" s="4"/>
      <c r="H476" s="3"/>
      <c r="I476" s="3"/>
      <c r="J476" s="3"/>
      <c r="K476" s="3"/>
      <c r="L476" s="3"/>
      <c r="M476" s="3"/>
      <c r="N476" s="3"/>
      <c r="O476" s="3"/>
      <c r="P476" s="3"/>
      <c r="Q476" s="3"/>
      <c r="R476" s="3"/>
      <c r="S476" s="3"/>
      <c r="T476" s="3"/>
      <c r="U476" s="3"/>
      <c r="V476" s="3"/>
      <c r="W476" s="3"/>
      <c r="X476" s="3"/>
      <c r="Y476" s="3"/>
      <c r="Z476" s="3"/>
    </row>
    <row r="477" ht="15.75" customHeight="1">
      <c r="A477" s="3"/>
      <c r="B477" s="3"/>
      <c r="C477" s="7"/>
      <c r="D477" s="3"/>
      <c r="E477" s="3"/>
      <c r="F477" s="7"/>
      <c r="G477" s="4"/>
      <c r="H477" s="3"/>
      <c r="I477" s="3"/>
      <c r="J477" s="3"/>
      <c r="K477" s="3"/>
      <c r="L477" s="3"/>
      <c r="M477" s="3"/>
      <c r="N477" s="3"/>
      <c r="O477" s="3"/>
      <c r="P477" s="3"/>
      <c r="Q477" s="3"/>
      <c r="R477" s="3"/>
      <c r="S477" s="3"/>
      <c r="T477" s="3"/>
      <c r="U477" s="3"/>
      <c r="V477" s="3"/>
      <c r="W477" s="3"/>
      <c r="X477" s="3"/>
      <c r="Y477" s="3"/>
      <c r="Z477" s="3"/>
    </row>
    <row r="478" ht="15.75" customHeight="1">
      <c r="A478" s="3"/>
      <c r="B478" s="3"/>
      <c r="C478" s="7"/>
      <c r="D478" s="3"/>
      <c r="E478" s="3"/>
      <c r="F478" s="7"/>
      <c r="G478" s="4"/>
      <c r="H478" s="3"/>
      <c r="I478" s="3"/>
      <c r="J478" s="3"/>
      <c r="K478" s="3"/>
      <c r="L478" s="3"/>
      <c r="M478" s="3"/>
      <c r="N478" s="3"/>
      <c r="O478" s="3"/>
      <c r="P478" s="3"/>
      <c r="Q478" s="3"/>
      <c r="R478" s="3"/>
      <c r="S478" s="3"/>
      <c r="T478" s="3"/>
      <c r="U478" s="3"/>
      <c r="V478" s="3"/>
      <c r="W478" s="3"/>
      <c r="X478" s="3"/>
      <c r="Y478" s="3"/>
      <c r="Z478" s="3"/>
    </row>
    <row r="479" ht="15.75" customHeight="1">
      <c r="A479" s="3"/>
      <c r="B479" s="3"/>
      <c r="C479" s="7"/>
      <c r="D479" s="3"/>
      <c r="E479" s="3"/>
      <c r="F479" s="7"/>
      <c r="G479" s="4"/>
      <c r="H479" s="3"/>
      <c r="I479" s="3"/>
      <c r="J479" s="3"/>
      <c r="K479" s="3"/>
      <c r="L479" s="3"/>
      <c r="M479" s="3"/>
      <c r="N479" s="3"/>
      <c r="O479" s="3"/>
      <c r="P479" s="3"/>
      <c r="Q479" s="3"/>
      <c r="R479" s="3"/>
      <c r="S479" s="3"/>
      <c r="T479" s="3"/>
      <c r="U479" s="3"/>
      <c r="V479" s="3"/>
      <c r="W479" s="3"/>
      <c r="X479" s="3"/>
      <c r="Y479" s="3"/>
      <c r="Z479" s="3"/>
    </row>
    <row r="480" ht="15.75" customHeight="1">
      <c r="A480" s="3"/>
      <c r="B480" s="3"/>
      <c r="C480" s="7"/>
      <c r="D480" s="3"/>
      <c r="E480" s="3"/>
      <c r="F480" s="7"/>
      <c r="G480" s="4"/>
      <c r="H480" s="3"/>
      <c r="I480" s="3"/>
      <c r="J480" s="3"/>
      <c r="K480" s="3"/>
      <c r="L480" s="3"/>
      <c r="M480" s="3"/>
      <c r="N480" s="3"/>
      <c r="O480" s="3"/>
      <c r="P480" s="3"/>
      <c r="Q480" s="3"/>
      <c r="R480" s="3"/>
      <c r="S480" s="3"/>
      <c r="T480" s="3"/>
      <c r="U480" s="3"/>
      <c r="V480" s="3"/>
      <c r="W480" s="3"/>
      <c r="X480" s="3"/>
      <c r="Y480" s="3"/>
      <c r="Z480" s="3"/>
    </row>
    <row r="481" ht="15.75" customHeight="1">
      <c r="A481" s="3"/>
      <c r="B481" s="3"/>
      <c r="C481" s="7"/>
      <c r="D481" s="3"/>
      <c r="E481" s="3"/>
      <c r="F481" s="7"/>
      <c r="G481" s="4"/>
      <c r="H481" s="3"/>
      <c r="I481" s="3"/>
      <c r="J481" s="3"/>
      <c r="K481" s="3"/>
      <c r="L481" s="3"/>
      <c r="M481" s="3"/>
      <c r="N481" s="3"/>
      <c r="O481" s="3"/>
      <c r="P481" s="3"/>
      <c r="Q481" s="3"/>
      <c r="R481" s="3"/>
      <c r="S481" s="3"/>
      <c r="T481" s="3"/>
      <c r="U481" s="3"/>
      <c r="V481" s="3"/>
      <c r="W481" s="3"/>
      <c r="X481" s="3"/>
      <c r="Y481" s="3"/>
      <c r="Z481" s="3"/>
    </row>
    <row r="482" ht="15.75" customHeight="1">
      <c r="A482" s="3"/>
      <c r="B482" s="3"/>
      <c r="C482" s="7"/>
      <c r="D482" s="3"/>
      <c r="E482" s="3"/>
      <c r="F482" s="7"/>
      <c r="G482" s="4"/>
      <c r="H482" s="3"/>
      <c r="I482" s="3"/>
      <c r="J482" s="3"/>
      <c r="K482" s="3"/>
      <c r="L482" s="3"/>
      <c r="M482" s="3"/>
      <c r="N482" s="3"/>
      <c r="O482" s="3"/>
      <c r="P482" s="3"/>
      <c r="Q482" s="3"/>
      <c r="R482" s="3"/>
      <c r="S482" s="3"/>
      <c r="T482" s="3"/>
      <c r="U482" s="3"/>
      <c r="V482" s="3"/>
      <c r="W482" s="3"/>
      <c r="X482" s="3"/>
      <c r="Y482" s="3"/>
      <c r="Z482" s="3"/>
    </row>
    <row r="483" ht="15.75" customHeight="1">
      <c r="A483" s="3"/>
      <c r="B483" s="3"/>
      <c r="C483" s="7"/>
      <c r="D483" s="3"/>
      <c r="E483" s="3"/>
      <c r="F483" s="7"/>
      <c r="G483" s="4"/>
      <c r="H483" s="3"/>
      <c r="I483" s="3"/>
      <c r="J483" s="3"/>
      <c r="K483" s="3"/>
      <c r="L483" s="3"/>
      <c r="M483" s="3"/>
      <c r="N483" s="3"/>
      <c r="O483" s="3"/>
      <c r="P483" s="3"/>
      <c r="Q483" s="3"/>
      <c r="R483" s="3"/>
      <c r="S483" s="3"/>
      <c r="T483" s="3"/>
      <c r="U483" s="3"/>
      <c r="V483" s="3"/>
      <c r="W483" s="3"/>
      <c r="X483" s="3"/>
      <c r="Y483" s="3"/>
      <c r="Z483" s="3"/>
    </row>
    <row r="484" ht="15.75" customHeight="1">
      <c r="A484" s="3"/>
      <c r="B484" s="3"/>
      <c r="C484" s="7"/>
      <c r="D484" s="3"/>
      <c r="E484" s="3"/>
      <c r="F484" s="7"/>
      <c r="G484" s="4"/>
      <c r="H484" s="3"/>
      <c r="I484" s="3"/>
      <c r="J484" s="3"/>
      <c r="K484" s="3"/>
      <c r="L484" s="3"/>
      <c r="M484" s="3"/>
      <c r="N484" s="3"/>
      <c r="O484" s="3"/>
      <c r="P484" s="3"/>
      <c r="Q484" s="3"/>
      <c r="R484" s="3"/>
      <c r="S484" s="3"/>
      <c r="T484" s="3"/>
      <c r="U484" s="3"/>
      <c r="V484" s="3"/>
      <c r="W484" s="3"/>
      <c r="X484" s="3"/>
      <c r="Y484" s="3"/>
      <c r="Z484" s="3"/>
    </row>
    <row r="485" ht="15.75" customHeight="1">
      <c r="A485" s="3"/>
      <c r="B485" s="3"/>
      <c r="C485" s="7"/>
      <c r="D485" s="3"/>
      <c r="E485" s="3"/>
      <c r="F485" s="7"/>
      <c r="G485" s="4"/>
      <c r="H485" s="3"/>
      <c r="I485" s="3"/>
      <c r="J485" s="3"/>
      <c r="K485" s="3"/>
      <c r="L485" s="3"/>
      <c r="M485" s="3"/>
      <c r="N485" s="3"/>
      <c r="O485" s="3"/>
      <c r="P485" s="3"/>
      <c r="Q485" s="3"/>
      <c r="R485" s="3"/>
      <c r="S485" s="3"/>
      <c r="T485" s="3"/>
      <c r="U485" s="3"/>
      <c r="V485" s="3"/>
      <c r="W485" s="3"/>
      <c r="X485" s="3"/>
      <c r="Y485" s="3"/>
      <c r="Z485" s="3"/>
    </row>
    <row r="486" ht="15.75" customHeight="1">
      <c r="A486" s="3"/>
      <c r="B486" s="3"/>
      <c r="C486" s="7"/>
      <c r="D486" s="3"/>
      <c r="E486" s="3"/>
      <c r="F486" s="7"/>
      <c r="G486" s="4"/>
      <c r="H486" s="3"/>
      <c r="I486" s="3"/>
      <c r="J486" s="3"/>
      <c r="K486" s="3"/>
      <c r="L486" s="3"/>
      <c r="M486" s="3"/>
      <c r="N486" s="3"/>
      <c r="O486" s="3"/>
      <c r="P486" s="3"/>
      <c r="Q486" s="3"/>
      <c r="R486" s="3"/>
      <c r="S486" s="3"/>
      <c r="T486" s="3"/>
      <c r="U486" s="3"/>
      <c r="V486" s="3"/>
      <c r="W486" s="3"/>
      <c r="X486" s="3"/>
      <c r="Y486" s="3"/>
      <c r="Z486" s="3"/>
    </row>
    <row r="487" ht="15.75" customHeight="1">
      <c r="A487" s="3"/>
      <c r="B487" s="3"/>
      <c r="C487" s="7"/>
      <c r="D487" s="3"/>
      <c r="E487" s="3"/>
      <c r="F487" s="7"/>
      <c r="G487" s="4"/>
      <c r="H487" s="3"/>
      <c r="I487" s="3"/>
      <c r="J487" s="3"/>
      <c r="K487" s="3"/>
      <c r="L487" s="3"/>
      <c r="M487" s="3"/>
      <c r="N487" s="3"/>
      <c r="O487" s="3"/>
      <c r="P487" s="3"/>
      <c r="Q487" s="3"/>
      <c r="R487" s="3"/>
      <c r="S487" s="3"/>
      <c r="T487" s="3"/>
      <c r="U487" s="3"/>
      <c r="V487" s="3"/>
      <c r="W487" s="3"/>
      <c r="X487" s="3"/>
      <c r="Y487" s="3"/>
      <c r="Z487" s="3"/>
    </row>
    <row r="488" ht="15.75" customHeight="1">
      <c r="A488" s="3"/>
      <c r="B488" s="3"/>
      <c r="C488" s="7"/>
      <c r="D488" s="3"/>
      <c r="E488" s="3"/>
      <c r="F488" s="7"/>
      <c r="G488" s="4"/>
      <c r="H488" s="3"/>
      <c r="I488" s="3"/>
      <c r="J488" s="3"/>
      <c r="K488" s="3"/>
      <c r="L488" s="3"/>
      <c r="M488" s="3"/>
      <c r="N488" s="3"/>
      <c r="O488" s="3"/>
      <c r="P488" s="3"/>
      <c r="Q488" s="3"/>
      <c r="R488" s="3"/>
      <c r="S488" s="3"/>
      <c r="T488" s="3"/>
      <c r="U488" s="3"/>
      <c r="V488" s="3"/>
      <c r="W488" s="3"/>
      <c r="X488" s="3"/>
      <c r="Y488" s="3"/>
      <c r="Z488" s="3"/>
    </row>
    <row r="489" ht="15.75" customHeight="1">
      <c r="A489" s="3"/>
      <c r="B489" s="3"/>
      <c r="C489" s="7"/>
      <c r="D489" s="3"/>
      <c r="E489" s="3"/>
      <c r="F489" s="7"/>
      <c r="G489" s="4"/>
      <c r="H489" s="3"/>
      <c r="I489" s="3"/>
      <c r="J489" s="3"/>
      <c r="K489" s="3"/>
      <c r="L489" s="3"/>
      <c r="M489" s="3"/>
      <c r="N489" s="3"/>
      <c r="O489" s="3"/>
      <c r="P489" s="3"/>
      <c r="Q489" s="3"/>
      <c r="R489" s="3"/>
      <c r="S489" s="3"/>
      <c r="T489" s="3"/>
      <c r="U489" s="3"/>
      <c r="V489" s="3"/>
      <c r="W489" s="3"/>
      <c r="X489" s="3"/>
      <c r="Y489" s="3"/>
      <c r="Z489" s="3"/>
    </row>
    <row r="490" ht="15.75" customHeight="1">
      <c r="A490" s="3"/>
      <c r="B490" s="3"/>
      <c r="C490" s="7"/>
      <c r="D490" s="3"/>
      <c r="E490" s="3"/>
      <c r="F490" s="7"/>
      <c r="G490" s="4"/>
      <c r="H490" s="3"/>
      <c r="I490" s="3"/>
      <c r="J490" s="3"/>
      <c r="K490" s="3"/>
      <c r="L490" s="3"/>
      <c r="M490" s="3"/>
      <c r="N490" s="3"/>
      <c r="O490" s="3"/>
      <c r="P490" s="3"/>
      <c r="Q490" s="3"/>
      <c r="R490" s="3"/>
      <c r="S490" s="3"/>
      <c r="T490" s="3"/>
      <c r="U490" s="3"/>
      <c r="V490" s="3"/>
      <c r="W490" s="3"/>
      <c r="X490" s="3"/>
      <c r="Y490" s="3"/>
      <c r="Z490" s="3"/>
    </row>
    <row r="491" ht="15.75" customHeight="1">
      <c r="A491" s="3"/>
      <c r="B491" s="3"/>
      <c r="C491" s="7"/>
      <c r="D491" s="3"/>
      <c r="E491" s="3"/>
      <c r="F491" s="7"/>
      <c r="G491" s="4"/>
      <c r="H491" s="3"/>
      <c r="I491" s="3"/>
      <c r="J491" s="3"/>
      <c r="K491" s="3"/>
      <c r="L491" s="3"/>
      <c r="M491" s="3"/>
      <c r="N491" s="3"/>
      <c r="O491" s="3"/>
      <c r="P491" s="3"/>
      <c r="Q491" s="3"/>
      <c r="R491" s="3"/>
      <c r="S491" s="3"/>
      <c r="T491" s="3"/>
      <c r="U491" s="3"/>
      <c r="V491" s="3"/>
      <c r="W491" s="3"/>
      <c r="X491" s="3"/>
      <c r="Y491" s="3"/>
      <c r="Z491" s="3"/>
    </row>
    <row r="492" ht="15.75" customHeight="1">
      <c r="A492" s="3"/>
      <c r="B492" s="3"/>
      <c r="C492" s="7"/>
      <c r="D492" s="3"/>
      <c r="E492" s="3"/>
      <c r="F492" s="7"/>
      <c r="G492" s="4"/>
      <c r="H492" s="3"/>
      <c r="I492" s="3"/>
      <c r="J492" s="3"/>
      <c r="K492" s="3"/>
      <c r="L492" s="3"/>
      <c r="M492" s="3"/>
      <c r="N492" s="3"/>
      <c r="O492" s="3"/>
      <c r="P492" s="3"/>
      <c r="Q492" s="3"/>
      <c r="R492" s="3"/>
      <c r="S492" s="3"/>
      <c r="T492" s="3"/>
      <c r="U492" s="3"/>
      <c r="V492" s="3"/>
      <c r="W492" s="3"/>
      <c r="X492" s="3"/>
      <c r="Y492" s="3"/>
      <c r="Z492" s="3"/>
    </row>
    <row r="493" ht="15.75" customHeight="1">
      <c r="A493" s="3"/>
      <c r="B493" s="3"/>
      <c r="C493" s="7"/>
      <c r="D493" s="3"/>
      <c r="E493" s="3"/>
      <c r="F493" s="7"/>
      <c r="G493" s="4"/>
      <c r="H493" s="3"/>
      <c r="I493" s="3"/>
      <c r="J493" s="3"/>
      <c r="K493" s="3"/>
      <c r="L493" s="3"/>
      <c r="M493" s="3"/>
      <c r="N493" s="3"/>
      <c r="O493" s="3"/>
      <c r="P493" s="3"/>
      <c r="Q493" s="3"/>
      <c r="R493" s="3"/>
      <c r="S493" s="3"/>
      <c r="T493" s="3"/>
      <c r="U493" s="3"/>
      <c r="V493" s="3"/>
      <c r="W493" s="3"/>
      <c r="X493" s="3"/>
      <c r="Y493" s="3"/>
      <c r="Z493" s="3"/>
    </row>
    <row r="494" ht="15.75" customHeight="1">
      <c r="A494" s="3"/>
      <c r="B494" s="3"/>
      <c r="C494" s="7"/>
      <c r="D494" s="3"/>
      <c r="E494" s="3"/>
      <c r="F494" s="7"/>
      <c r="G494" s="4"/>
      <c r="H494" s="3"/>
      <c r="I494" s="3"/>
      <c r="J494" s="3"/>
      <c r="K494" s="3"/>
      <c r="L494" s="3"/>
      <c r="M494" s="3"/>
      <c r="N494" s="3"/>
      <c r="O494" s="3"/>
      <c r="P494" s="3"/>
      <c r="Q494" s="3"/>
      <c r="R494" s="3"/>
      <c r="S494" s="3"/>
      <c r="T494" s="3"/>
      <c r="U494" s="3"/>
      <c r="V494" s="3"/>
      <c r="W494" s="3"/>
      <c r="X494" s="3"/>
      <c r="Y494" s="3"/>
      <c r="Z494" s="3"/>
    </row>
    <row r="495" ht="15.75" customHeight="1">
      <c r="A495" s="3"/>
      <c r="B495" s="3"/>
      <c r="C495" s="7"/>
      <c r="D495" s="3"/>
      <c r="E495" s="3"/>
      <c r="F495" s="7"/>
      <c r="G495" s="4"/>
      <c r="H495" s="3"/>
      <c r="I495" s="3"/>
      <c r="J495" s="3"/>
      <c r="K495" s="3"/>
      <c r="L495" s="3"/>
      <c r="M495" s="3"/>
      <c r="N495" s="3"/>
      <c r="O495" s="3"/>
      <c r="P495" s="3"/>
      <c r="Q495" s="3"/>
      <c r="R495" s="3"/>
      <c r="S495" s="3"/>
      <c r="T495" s="3"/>
      <c r="U495" s="3"/>
      <c r="V495" s="3"/>
      <c r="W495" s="3"/>
      <c r="X495" s="3"/>
      <c r="Y495" s="3"/>
      <c r="Z495" s="3"/>
    </row>
    <row r="496" ht="15.75" customHeight="1">
      <c r="A496" s="3"/>
      <c r="B496" s="3"/>
      <c r="C496" s="7"/>
      <c r="D496" s="3"/>
      <c r="E496" s="3"/>
      <c r="F496" s="7"/>
      <c r="G496" s="4"/>
      <c r="H496" s="3"/>
      <c r="I496" s="3"/>
      <c r="J496" s="3"/>
      <c r="K496" s="3"/>
      <c r="L496" s="3"/>
      <c r="M496" s="3"/>
      <c r="N496" s="3"/>
      <c r="O496" s="3"/>
      <c r="P496" s="3"/>
      <c r="Q496" s="3"/>
      <c r="R496" s="3"/>
      <c r="S496" s="3"/>
      <c r="T496" s="3"/>
      <c r="U496" s="3"/>
      <c r="V496" s="3"/>
      <c r="W496" s="3"/>
      <c r="X496" s="3"/>
      <c r="Y496" s="3"/>
      <c r="Z496" s="3"/>
    </row>
    <row r="497" ht="15.75" customHeight="1">
      <c r="A497" s="3"/>
      <c r="B497" s="3"/>
      <c r="C497" s="7"/>
      <c r="D497" s="3"/>
      <c r="E497" s="3"/>
      <c r="F497" s="7"/>
      <c r="G497" s="4"/>
      <c r="H497" s="3"/>
      <c r="I497" s="3"/>
      <c r="J497" s="3"/>
      <c r="K497" s="3"/>
      <c r="L497" s="3"/>
      <c r="M497" s="3"/>
      <c r="N497" s="3"/>
      <c r="O497" s="3"/>
      <c r="P497" s="3"/>
      <c r="Q497" s="3"/>
      <c r="R497" s="3"/>
      <c r="S497" s="3"/>
      <c r="T497" s="3"/>
      <c r="U497" s="3"/>
      <c r="V497" s="3"/>
      <c r="W497" s="3"/>
      <c r="X497" s="3"/>
      <c r="Y497" s="3"/>
      <c r="Z497" s="3"/>
    </row>
    <row r="498" ht="15.75" customHeight="1">
      <c r="A498" s="3"/>
      <c r="B498" s="3"/>
      <c r="C498" s="7"/>
      <c r="D498" s="3"/>
      <c r="E498" s="3"/>
      <c r="F498" s="7"/>
      <c r="G498" s="4"/>
      <c r="H498" s="3"/>
      <c r="I498" s="3"/>
      <c r="J498" s="3"/>
      <c r="K498" s="3"/>
      <c r="L498" s="3"/>
      <c r="M498" s="3"/>
      <c r="N498" s="3"/>
      <c r="O498" s="3"/>
      <c r="P498" s="3"/>
      <c r="Q498" s="3"/>
      <c r="R498" s="3"/>
      <c r="S498" s="3"/>
      <c r="T498" s="3"/>
      <c r="U498" s="3"/>
      <c r="V498" s="3"/>
      <c r="W498" s="3"/>
      <c r="X498" s="3"/>
      <c r="Y498" s="3"/>
      <c r="Z498" s="3"/>
    </row>
    <row r="499" ht="15.75" customHeight="1">
      <c r="A499" s="3"/>
      <c r="B499" s="3"/>
      <c r="C499" s="7"/>
      <c r="D499" s="3"/>
      <c r="E499" s="3"/>
      <c r="F499" s="7"/>
      <c r="G499" s="4"/>
      <c r="H499" s="3"/>
      <c r="I499" s="3"/>
      <c r="J499" s="3"/>
      <c r="K499" s="3"/>
      <c r="L499" s="3"/>
      <c r="M499" s="3"/>
      <c r="N499" s="3"/>
      <c r="O499" s="3"/>
      <c r="P499" s="3"/>
      <c r="Q499" s="3"/>
      <c r="R499" s="3"/>
      <c r="S499" s="3"/>
      <c r="T499" s="3"/>
      <c r="U499" s="3"/>
      <c r="V499" s="3"/>
      <c r="W499" s="3"/>
      <c r="X499" s="3"/>
      <c r="Y499" s="3"/>
      <c r="Z499" s="3"/>
    </row>
    <row r="500" ht="15.75" customHeight="1">
      <c r="A500" s="3"/>
      <c r="B500" s="3"/>
      <c r="C500" s="7"/>
      <c r="D500" s="3"/>
      <c r="E500" s="3"/>
      <c r="F500" s="7"/>
      <c r="G500" s="4"/>
      <c r="H500" s="3"/>
      <c r="I500" s="3"/>
      <c r="J500" s="3"/>
      <c r="K500" s="3"/>
      <c r="L500" s="3"/>
      <c r="M500" s="3"/>
      <c r="N500" s="3"/>
      <c r="O500" s="3"/>
      <c r="P500" s="3"/>
      <c r="Q500" s="3"/>
      <c r="R500" s="3"/>
      <c r="S500" s="3"/>
      <c r="T500" s="3"/>
      <c r="U500" s="3"/>
      <c r="V500" s="3"/>
      <c r="W500" s="3"/>
      <c r="X500" s="3"/>
      <c r="Y500" s="3"/>
      <c r="Z500" s="3"/>
    </row>
    <row r="501" ht="15.75" customHeight="1">
      <c r="A501" s="3"/>
      <c r="B501" s="3"/>
      <c r="C501" s="7"/>
      <c r="D501" s="3"/>
      <c r="E501" s="3"/>
      <c r="F501" s="7"/>
      <c r="G501" s="4"/>
      <c r="H501" s="3"/>
      <c r="I501" s="3"/>
      <c r="J501" s="3"/>
      <c r="K501" s="3"/>
      <c r="L501" s="3"/>
      <c r="M501" s="3"/>
      <c r="N501" s="3"/>
      <c r="O501" s="3"/>
      <c r="P501" s="3"/>
      <c r="Q501" s="3"/>
      <c r="R501" s="3"/>
      <c r="S501" s="3"/>
      <c r="T501" s="3"/>
      <c r="U501" s="3"/>
      <c r="V501" s="3"/>
      <c r="W501" s="3"/>
      <c r="X501" s="3"/>
      <c r="Y501" s="3"/>
      <c r="Z501" s="3"/>
    </row>
    <row r="502" ht="15.75" customHeight="1">
      <c r="A502" s="3"/>
      <c r="B502" s="3"/>
      <c r="C502" s="7"/>
      <c r="D502" s="3"/>
      <c r="E502" s="3"/>
      <c r="F502" s="7"/>
      <c r="G502" s="4"/>
      <c r="H502" s="3"/>
      <c r="I502" s="3"/>
      <c r="J502" s="3"/>
      <c r="K502" s="3"/>
      <c r="L502" s="3"/>
      <c r="M502" s="3"/>
      <c r="N502" s="3"/>
      <c r="O502" s="3"/>
      <c r="P502" s="3"/>
      <c r="Q502" s="3"/>
      <c r="R502" s="3"/>
      <c r="S502" s="3"/>
      <c r="T502" s="3"/>
      <c r="U502" s="3"/>
      <c r="V502" s="3"/>
      <c r="W502" s="3"/>
      <c r="X502" s="3"/>
      <c r="Y502" s="3"/>
      <c r="Z502" s="3"/>
    </row>
    <row r="503" ht="15.75" customHeight="1">
      <c r="A503" s="3"/>
      <c r="B503" s="3"/>
      <c r="C503" s="7"/>
      <c r="D503" s="3"/>
      <c r="E503" s="3"/>
      <c r="F503" s="7"/>
      <c r="G503" s="4"/>
      <c r="H503" s="3"/>
      <c r="I503" s="3"/>
      <c r="J503" s="3"/>
      <c r="K503" s="3"/>
      <c r="L503" s="3"/>
      <c r="M503" s="3"/>
      <c r="N503" s="3"/>
      <c r="O503" s="3"/>
      <c r="P503" s="3"/>
      <c r="Q503" s="3"/>
      <c r="R503" s="3"/>
      <c r="S503" s="3"/>
      <c r="T503" s="3"/>
      <c r="U503" s="3"/>
      <c r="V503" s="3"/>
      <c r="W503" s="3"/>
      <c r="X503" s="3"/>
      <c r="Y503" s="3"/>
      <c r="Z503" s="3"/>
    </row>
    <row r="504" ht="15.75" customHeight="1">
      <c r="A504" s="3"/>
      <c r="B504" s="3"/>
      <c r="C504" s="7"/>
      <c r="D504" s="3"/>
      <c r="E504" s="3"/>
      <c r="F504" s="7"/>
      <c r="G504" s="4"/>
      <c r="H504" s="3"/>
      <c r="I504" s="3"/>
      <c r="J504" s="3"/>
      <c r="K504" s="3"/>
      <c r="L504" s="3"/>
      <c r="M504" s="3"/>
      <c r="N504" s="3"/>
      <c r="O504" s="3"/>
      <c r="P504" s="3"/>
      <c r="Q504" s="3"/>
      <c r="R504" s="3"/>
      <c r="S504" s="3"/>
      <c r="T504" s="3"/>
      <c r="U504" s="3"/>
      <c r="V504" s="3"/>
      <c r="W504" s="3"/>
      <c r="X504" s="3"/>
      <c r="Y504" s="3"/>
      <c r="Z504" s="3"/>
    </row>
    <row r="505" ht="15.75" customHeight="1">
      <c r="A505" s="3"/>
      <c r="B505" s="3"/>
      <c r="C505" s="7"/>
      <c r="D505" s="3"/>
      <c r="E505" s="3"/>
      <c r="F505" s="7"/>
      <c r="G505" s="4"/>
      <c r="H505" s="3"/>
      <c r="I505" s="3"/>
      <c r="J505" s="3"/>
      <c r="K505" s="3"/>
      <c r="L505" s="3"/>
      <c r="M505" s="3"/>
      <c r="N505" s="3"/>
      <c r="O505" s="3"/>
      <c r="P505" s="3"/>
      <c r="Q505" s="3"/>
      <c r="R505" s="3"/>
      <c r="S505" s="3"/>
      <c r="T505" s="3"/>
      <c r="U505" s="3"/>
      <c r="V505" s="3"/>
      <c r="W505" s="3"/>
      <c r="X505" s="3"/>
      <c r="Y505" s="3"/>
      <c r="Z505" s="3"/>
    </row>
    <row r="506" ht="15.75" customHeight="1">
      <c r="A506" s="3"/>
      <c r="B506" s="3"/>
      <c r="C506" s="7"/>
      <c r="D506" s="3"/>
      <c r="E506" s="3"/>
      <c r="F506" s="7"/>
      <c r="G506" s="4"/>
      <c r="H506" s="3"/>
      <c r="I506" s="3"/>
      <c r="J506" s="3"/>
      <c r="K506" s="3"/>
      <c r="L506" s="3"/>
      <c r="M506" s="3"/>
      <c r="N506" s="3"/>
      <c r="O506" s="3"/>
      <c r="P506" s="3"/>
      <c r="Q506" s="3"/>
      <c r="R506" s="3"/>
      <c r="S506" s="3"/>
      <c r="T506" s="3"/>
      <c r="U506" s="3"/>
      <c r="V506" s="3"/>
      <c r="W506" s="3"/>
      <c r="X506" s="3"/>
      <c r="Y506" s="3"/>
      <c r="Z506" s="3"/>
    </row>
    <row r="507" ht="15.75" customHeight="1">
      <c r="A507" s="3"/>
      <c r="B507" s="3"/>
      <c r="C507" s="7"/>
      <c r="D507" s="3"/>
      <c r="E507" s="3"/>
      <c r="F507" s="7"/>
      <c r="G507" s="4"/>
      <c r="H507" s="3"/>
      <c r="I507" s="3"/>
      <c r="J507" s="3"/>
      <c r="K507" s="3"/>
      <c r="L507" s="3"/>
      <c r="M507" s="3"/>
      <c r="N507" s="3"/>
      <c r="O507" s="3"/>
      <c r="P507" s="3"/>
      <c r="Q507" s="3"/>
      <c r="R507" s="3"/>
      <c r="S507" s="3"/>
      <c r="T507" s="3"/>
      <c r="U507" s="3"/>
      <c r="V507" s="3"/>
      <c r="W507" s="3"/>
      <c r="X507" s="3"/>
      <c r="Y507" s="3"/>
      <c r="Z507" s="3"/>
    </row>
    <row r="508" ht="15.75" customHeight="1">
      <c r="A508" s="3"/>
      <c r="B508" s="3"/>
      <c r="C508" s="7"/>
      <c r="D508" s="3"/>
      <c r="E508" s="3"/>
      <c r="F508" s="7"/>
      <c r="G508" s="4"/>
      <c r="H508" s="3"/>
      <c r="I508" s="3"/>
      <c r="J508" s="3"/>
      <c r="K508" s="3"/>
      <c r="L508" s="3"/>
      <c r="M508" s="3"/>
      <c r="N508" s="3"/>
      <c r="O508" s="3"/>
      <c r="P508" s="3"/>
      <c r="Q508" s="3"/>
      <c r="R508" s="3"/>
      <c r="S508" s="3"/>
      <c r="T508" s="3"/>
      <c r="U508" s="3"/>
      <c r="V508" s="3"/>
      <c r="W508" s="3"/>
      <c r="X508" s="3"/>
      <c r="Y508" s="3"/>
      <c r="Z508" s="3"/>
    </row>
    <row r="509" ht="15.75" customHeight="1">
      <c r="A509" s="3"/>
      <c r="B509" s="3"/>
      <c r="C509" s="7"/>
      <c r="D509" s="3"/>
      <c r="E509" s="3"/>
      <c r="F509" s="7"/>
      <c r="G509" s="4"/>
      <c r="H509" s="3"/>
      <c r="I509" s="3"/>
      <c r="J509" s="3"/>
      <c r="K509" s="3"/>
      <c r="L509" s="3"/>
      <c r="M509" s="3"/>
      <c r="N509" s="3"/>
      <c r="O509" s="3"/>
      <c r="P509" s="3"/>
      <c r="Q509" s="3"/>
      <c r="R509" s="3"/>
      <c r="S509" s="3"/>
      <c r="T509" s="3"/>
      <c r="U509" s="3"/>
      <c r="V509" s="3"/>
      <c r="W509" s="3"/>
      <c r="X509" s="3"/>
      <c r="Y509" s="3"/>
      <c r="Z509" s="3"/>
    </row>
    <row r="510" ht="15.75" customHeight="1">
      <c r="A510" s="3"/>
      <c r="B510" s="3"/>
      <c r="C510" s="7"/>
      <c r="D510" s="3"/>
      <c r="E510" s="3"/>
      <c r="F510" s="7"/>
      <c r="G510" s="4"/>
      <c r="H510" s="3"/>
      <c r="I510" s="3"/>
      <c r="J510" s="3"/>
      <c r="K510" s="3"/>
      <c r="L510" s="3"/>
      <c r="M510" s="3"/>
      <c r="N510" s="3"/>
      <c r="O510" s="3"/>
      <c r="P510" s="3"/>
      <c r="Q510" s="3"/>
      <c r="R510" s="3"/>
      <c r="S510" s="3"/>
      <c r="T510" s="3"/>
      <c r="U510" s="3"/>
      <c r="V510" s="3"/>
      <c r="W510" s="3"/>
      <c r="X510" s="3"/>
      <c r="Y510" s="3"/>
      <c r="Z510" s="3"/>
    </row>
    <row r="511" ht="15.75" customHeight="1">
      <c r="A511" s="3"/>
      <c r="B511" s="3"/>
      <c r="C511" s="7"/>
      <c r="D511" s="3"/>
      <c r="E511" s="3"/>
      <c r="F511" s="7"/>
      <c r="G511" s="4"/>
      <c r="H511" s="3"/>
      <c r="I511" s="3"/>
      <c r="J511" s="3"/>
      <c r="K511" s="3"/>
      <c r="L511" s="3"/>
      <c r="M511" s="3"/>
      <c r="N511" s="3"/>
      <c r="O511" s="3"/>
      <c r="P511" s="3"/>
      <c r="Q511" s="3"/>
      <c r="R511" s="3"/>
      <c r="S511" s="3"/>
      <c r="T511" s="3"/>
      <c r="U511" s="3"/>
      <c r="V511" s="3"/>
      <c r="W511" s="3"/>
      <c r="X511" s="3"/>
      <c r="Y511" s="3"/>
      <c r="Z511" s="3"/>
    </row>
    <row r="512" ht="15.75" customHeight="1">
      <c r="A512" s="3"/>
      <c r="B512" s="3"/>
      <c r="C512" s="7"/>
      <c r="D512" s="3"/>
      <c r="E512" s="3"/>
      <c r="F512" s="7"/>
      <c r="G512" s="4"/>
      <c r="H512" s="3"/>
      <c r="I512" s="3"/>
      <c r="J512" s="3"/>
      <c r="K512" s="3"/>
      <c r="L512" s="3"/>
      <c r="M512" s="3"/>
      <c r="N512" s="3"/>
      <c r="O512" s="3"/>
      <c r="P512" s="3"/>
      <c r="Q512" s="3"/>
      <c r="R512" s="3"/>
      <c r="S512" s="3"/>
      <c r="T512" s="3"/>
      <c r="U512" s="3"/>
      <c r="V512" s="3"/>
      <c r="W512" s="3"/>
      <c r="X512" s="3"/>
      <c r="Y512" s="3"/>
      <c r="Z512" s="3"/>
    </row>
    <row r="513" ht="15.75" customHeight="1">
      <c r="A513" s="3"/>
      <c r="B513" s="3"/>
      <c r="C513" s="7"/>
      <c r="D513" s="3"/>
      <c r="E513" s="3"/>
      <c r="F513" s="7"/>
      <c r="G513" s="4"/>
      <c r="H513" s="3"/>
      <c r="I513" s="3"/>
      <c r="J513" s="3"/>
      <c r="K513" s="3"/>
      <c r="L513" s="3"/>
      <c r="M513" s="3"/>
      <c r="N513" s="3"/>
      <c r="O513" s="3"/>
      <c r="P513" s="3"/>
      <c r="Q513" s="3"/>
      <c r="R513" s="3"/>
      <c r="S513" s="3"/>
      <c r="T513" s="3"/>
      <c r="U513" s="3"/>
      <c r="V513" s="3"/>
      <c r="W513" s="3"/>
      <c r="X513" s="3"/>
      <c r="Y513" s="3"/>
      <c r="Z513" s="3"/>
    </row>
    <row r="514" ht="15.75" customHeight="1">
      <c r="A514" s="3"/>
      <c r="B514" s="3"/>
      <c r="C514" s="7"/>
      <c r="D514" s="3"/>
      <c r="E514" s="3"/>
      <c r="F514" s="7"/>
      <c r="G514" s="4"/>
      <c r="H514" s="3"/>
      <c r="I514" s="3"/>
      <c r="J514" s="3"/>
      <c r="K514" s="3"/>
      <c r="L514" s="3"/>
      <c r="M514" s="3"/>
      <c r="N514" s="3"/>
      <c r="O514" s="3"/>
      <c r="P514" s="3"/>
      <c r="Q514" s="3"/>
      <c r="R514" s="3"/>
      <c r="S514" s="3"/>
      <c r="T514" s="3"/>
      <c r="U514" s="3"/>
      <c r="V514" s="3"/>
      <c r="W514" s="3"/>
      <c r="X514" s="3"/>
      <c r="Y514" s="3"/>
      <c r="Z514" s="3"/>
    </row>
    <row r="515" ht="15.75" customHeight="1">
      <c r="A515" s="3"/>
      <c r="B515" s="3"/>
      <c r="C515" s="7"/>
      <c r="D515" s="3"/>
      <c r="E515" s="3"/>
      <c r="F515" s="7"/>
      <c r="G515" s="4"/>
      <c r="H515" s="3"/>
      <c r="I515" s="3"/>
      <c r="J515" s="3"/>
      <c r="K515" s="3"/>
      <c r="L515" s="3"/>
      <c r="M515" s="3"/>
      <c r="N515" s="3"/>
      <c r="O515" s="3"/>
      <c r="P515" s="3"/>
      <c r="Q515" s="3"/>
      <c r="R515" s="3"/>
      <c r="S515" s="3"/>
      <c r="T515" s="3"/>
      <c r="U515" s="3"/>
      <c r="V515" s="3"/>
      <c r="W515" s="3"/>
      <c r="X515" s="3"/>
      <c r="Y515" s="3"/>
      <c r="Z515" s="3"/>
    </row>
    <row r="516" ht="15.75" customHeight="1">
      <c r="A516" s="3"/>
      <c r="B516" s="3"/>
      <c r="C516" s="7"/>
      <c r="D516" s="3"/>
      <c r="E516" s="3"/>
      <c r="F516" s="7"/>
      <c r="G516" s="4"/>
      <c r="H516" s="3"/>
      <c r="I516" s="3"/>
      <c r="J516" s="3"/>
      <c r="K516" s="3"/>
      <c r="L516" s="3"/>
      <c r="M516" s="3"/>
      <c r="N516" s="3"/>
      <c r="O516" s="3"/>
      <c r="P516" s="3"/>
      <c r="Q516" s="3"/>
      <c r="R516" s="3"/>
      <c r="S516" s="3"/>
      <c r="T516" s="3"/>
      <c r="U516" s="3"/>
      <c r="V516" s="3"/>
      <c r="W516" s="3"/>
      <c r="X516" s="3"/>
      <c r="Y516" s="3"/>
      <c r="Z516" s="3"/>
    </row>
    <row r="517" ht="15.75" customHeight="1">
      <c r="A517" s="3"/>
      <c r="B517" s="3"/>
      <c r="C517" s="7"/>
      <c r="D517" s="3"/>
      <c r="E517" s="3"/>
      <c r="F517" s="7"/>
      <c r="G517" s="4"/>
      <c r="H517" s="3"/>
      <c r="I517" s="3"/>
      <c r="J517" s="3"/>
      <c r="K517" s="3"/>
      <c r="L517" s="3"/>
      <c r="M517" s="3"/>
      <c r="N517" s="3"/>
      <c r="O517" s="3"/>
      <c r="P517" s="3"/>
      <c r="Q517" s="3"/>
      <c r="R517" s="3"/>
      <c r="S517" s="3"/>
      <c r="T517" s="3"/>
      <c r="U517" s="3"/>
      <c r="V517" s="3"/>
      <c r="W517" s="3"/>
      <c r="X517" s="3"/>
      <c r="Y517" s="3"/>
      <c r="Z517" s="3"/>
    </row>
    <row r="518" ht="15.75" customHeight="1">
      <c r="A518" s="3"/>
      <c r="B518" s="3"/>
      <c r="C518" s="7"/>
      <c r="D518" s="3"/>
      <c r="E518" s="3"/>
      <c r="F518" s="7"/>
      <c r="G518" s="4"/>
      <c r="H518" s="3"/>
      <c r="I518" s="3"/>
      <c r="J518" s="3"/>
      <c r="K518" s="3"/>
      <c r="L518" s="3"/>
      <c r="M518" s="3"/>
      <c r="N518" s="3"/>
      <c r="O518" s="3"/>
      <c r="P518" s="3"/>
      <c r="Q518" s="3"/>
      <c r="R518" s="3"/>
      <c r="S518" s="3"/>
      <c r="T518" s="3"/>
      <c r="U518" s="3"/>
      <c r="V518" s="3"/>
      <c r="W518" s="3"/>
      <c r="X518" s="3"/>
      <c r="Y518" s="3"/>
      <c r="Z518" s="3"/>
    </row>
    <row r="519" ht="15.75" customHeight="1">
      <c r="A519" s="3"/>
      <c r="B519" s="3"/>
      <c r="C519" s="7"/>
      <c r="D519" s="3"/>
      <c r="E519" s="3"/>
      <c r="F519" s="7"/>
      <c r="G519" s="4"/>
      <c r="H519" s="3"/>
      <c r="I519" s="3"/>
      <c r="J519" s="3"/>
      <c r="K519" s="3"/>
      <c r="L519" s="3"/>
      <c r="M519" s="3"/>
      <c r="N519" s="3"/>
      <c r="O519" s="3"/>
      <c r="P519" s="3"/>
      <c r="Q519" s="3"/>
      <c r="R519" s="3"/>
      <c r="S519" s="3"/>
      <c r="T519" s="3"/>
      <c r="U519" s="3"/>
      <c r="V519" s="3"/>
      <c r="W519" s="3"/>
      <c r="X519" s="3"/>
      <c r="Y519" s="3"/>
      <c r="Z519" s="3"/>
    </row>
    <row r="520" ht="15.75" customHeight="1">
      <c r="A520" s="3"/>
      <c r="B520" s="3"/>
      <c r="C520" s="7"/>
      <c r="D520" s="3"/>
      <c r="E520" s="3"/>
      <c r="F520" s="7"/>
      <c r="G520" s="4"/>
      <c r="H520" s="3"/>
      <c r="I520" s="3"/>
      <c r="J520" s="3"/>
      <c r="K520" s="3"/>
      <c r="L520" s="3"/>
      <c r="M520" s="3"/>
      <c r="N520" s="3"/>
      <c r="O520" s="3"/>
      <c r="P520" s="3"/>
      <c r="Q520" s="3"/>
      <c r="R520" s="3"/>
      <c r="S520" s="3"/>
      <c r="T520" s="3"/>
      <c r="U520" s="3"/>
      <c r="V520" s="3"/>
      <c r="W520" s="3"/>
      <c r="X520" s="3"/>
      <c r="Y520" s="3"/>
      <c r="Z520" s="3"/>
    </row>
    <row r="521" ht="15.75" customHeight="1">
      <c r="A521" s="3"/>
      <c r="B521" s="3"/>
      <c r="C521" s="7"/>
      <c r="D521" s="3"/>
      <c r="E521" s="3"/>
      <c r="F521" s="7"/>
      <c r="G521" s="4"/>
      <c r="H521" s="3"/>
      <c r="I521" s="3"/>
      <c r="J521" s="3"/>
      <c r="K521" s="3"/>
      <c r="L521" s="3"/>
      <c r="M521" s="3"/>
      <c r="N521" s="3"/>
      <c r="O521" s="3"/>
      <c r="P521" s="3"/>
      <c r="Q521" s="3"/>
      <c r="R521" s="3"/>
      <c r="S521" s="3"/>
      <c r="T521" s="3"/>
      <c r="U521" s="3"/>
      <c r="V521" s="3"/>
      <c r="W521" s="3"/>
      <c r="X521" s="3"/>
      <c r="Y521" s="3"/>
      <c r="Z521" s="3"/>
    </row>
    <row r="522" ht="15.75" customHeight="1">
      <c r="A522" s="3"/>
      <c r="B522" s="3"/>
      <c r="C522" s="7"/>
      <c r="D522" s="3"/>
      <c r="E522" s="3"/>
      <c r="F522" s="7"/>
      <c r="G522" s="4"/>
      <c r="H522" s="3"/>
      <c r="I522" s="3"/>
      <c r="J522" s="3"/>
      <c r="K522" s="3"/>
      <c r="L522" s="3"/>
      <c r="M522" s="3"/>
      <c r="N522" s="3"/>
      <c r="O522" s="3"/>
      <c r="P522" s="3"/>
      <c r="Q522" s="3"/>
      <c r="R522" s="3"/>
      <c r="S522" s="3"/>
      <c r="T522" s="3"/>
      <c r="U522" s="3"/>
      <c r="V522" s="3"/>
      <c r="W522" s="3"/>
      <c r="X522" s="3"/>
      <c r="Y522" s="3"/>
      <c r="Z522" s="3"/>
    </row>
    <row r="523" ht="15.75" customHeight="1">
      <c r="A523" s="3"/>
      <c r="B523" s="3"/>
      <c r="C523" s="7"/>
      <c r="D523" s="3"/>
      <c r="E523" s="3"/>
      <c r="F523" s="7"/>
      <c r="G523" s="4"/>
      <c r="H523" s="3"/>
      <c r="I523" s="3"/>
      <c r="J523" s="3"/>
      <c r="K523" s="3"/>
      <c r="L523" s="3"/>
      <c r="M523" s="3"/>
      <c r="N523" s="3"/>
      <c r="O523" s="3"/>
      <c r="P523" s="3"/>
      <c r="Q523" s="3"/>
      <c r="R523" s="3"/>
      <c r="S523" s="3"/>
      <c r="T523" s="3"/>
      <c r="U523" s="3"/>
      <c r="V523" s="3"/>
      <c r="W523" s="3"/>
      <c r="X523" s="3"/>
      <c r="Y523" s="3"/>
      <c r="Z523" s="3"/>
    </row>
    <row r="524" ht="15.75" customHeight="1">
      <c r="A524" s="3"/>
      <c r="B524" s="3"/>
      <c r="C524" s="7"/>
      <c r="D524" s="3"/>
      <c r="E524" s="3"/>
      <c r="F524" s="7"/>
      <c r="G524" s="4"/>
      <c r="H524" s="3"/>
      <c r="I524" s="3"/>
      <c r="J524" s="3"/>
      <c r="K524" s="3"/>
      <c r="L524" s="3"/>
      <c r="M524" s="3"/>
      <c r="N524" s="3"/>
      <c r="O524" s="3"/>
      <c r="P524" s="3"/>
      <c r="Q524" s="3"/>
      <c r="R524" s="3"/>
      <c r="S524" s="3"/>
      <c r="T524" s="3"/>
      <c r="U524" s="3"/>
      <c r="V524" s="3"/>
      <c r="W524" s="3"/>
      <c r="X524" s="3"/>
      <c r="Y524" s="3"/>
      <c r="Z524" s="3"/>
    </row>
    <row r="525" ht="15.75" customHeight="1">
      <c r="A525" s="3"/>
      <c r="B525" s="3"/>
      <c r="C525" s="7"/>
      <c r="D525" s="3"/>
      <c r="E525" s="3"/>
      <c r="F525" s="7"/>
      <c r="G525" s="4"/>
      <c r="H525" s="3"/>
      <c r="I525" s="3"/>
      <c r="J525" s="3"/>
      <c r="K525" s="3"/>
      <c r="L525" s="3"/>
      <c r="M525" s="3"/>
      <c r="N525" s="3"/>
      <c r="O525" s="3"/>
      <c r="P525" s="3"/>
      <c r="Q525" s="3"/>
      <c r="R525" s="3"/>
      <c r="S525" s="3"/>
      <c r="T525" s="3"/>
      <c r="U525" s="3"/>
      <c r="V525" s="3"/>
      <c r="W525" s="3"/>
      <c r="X525" s="3"/>
      <c r="Y525" s="3"/>
      <c r="Z525" s="3"/>
    </row>
    <row r="526" ht="15.75" customHeight="1">
      <c r="A526" s="3"/>
      <c r="B526" s="3"/>
      <c r="C526" s="7"/>
      <c r="D526" s="3"/>
      <c r="E526" s="3"/>
      <c r="F526" s="7"/>
      <c r="G526" s="4"/>
      <c r="H526" s="3"/>
      <c r="I526" s="3"/>
      <c r="J526" s="3"/>
      <c r="K526" s="3"/>
      <c r="L526" s="3"/>
      <c r="M526" s="3"/>
      <c r="N526" s="3"/>
      <c r="O526" s="3"/>
      <c r="P526" s="3"/>
      <c r="Q526" s="3"/>
      <c r="R526" s="3"/>
      <c r="S526" s="3"/>
      <c r="T526" s="3"/>
      <c r="U526" s="3"/>
      <c r="V526" s="3"/>
      <c r="W526" s="3"/>
      <c r="X526" s="3"/>
      <c r="Y526" s="3"/>
      <c r="Z526" s="3"/>
    </row>
    <row r="527" ht="15.75" customHeight="1">
      <c r="A527" s="3"/>
      <c r="B527" s="3"/>
      <c r="C527" s="7"/>
      <c r="D527" s="3"/>
      <c r="E527" s="3"/>
      <c r="F527" s="7"/>
      <c r="G527" s="4"/>
      <c r="H527" s="3"/>
      <c r="I527" s="3"/>
      <c r="J527" s="3"/>
      <c r="K527" s="3"/>
      <c r="L527" s="3"/>
      <c r="M527" s="3"/>
      <c r="N527" s="3"/>
      <c r="O527" s="3"/>
      <c r="P527" s="3"/>
      <c r="Q527" s="3"/>
      <c r="R527" s="3"/>
      <c r="S527" s="3"/>
      <c r="T527" s="3"/>
      <c r="U527" s="3"/>
      <c r="V527" s="3"/>
      <c r="W527" s="3"/>
      <c r="X527" s="3"/>
      <c r="Y527" s="3"/>
      <c r="Z527" s="3"/>
    </row>
    <row r="528" ht="15.75" customHeight="1">
      <c r="A528" s="3"/>
      <c r="B528" s="3"/>
      <c r="C528" s="7"/>
      <c r="D528" s="3"/>
      <c r="E528" s="3"/>
      <c r="F528" s="7"/>
      <c r="G528" s="4"/>
      <c r="H528" s="3"/>
      <c r="I528" s="3"/>
      <c r="J528" s="3"/>
      <c r="K528" s="3"/>
      <c r="L528" s="3"/>
      <c r="M528" s="3"/>
      <c r="N528" s="3"/>
      <c r="O528" s="3"/>
      <c r="P528" s="3"/>
      <c r="Q528" s="3"/>
      <c r="R528" s="3"/>
      <c r="S528" s="3"/>
      <c r="T528" s="3"/>
      <c r="U528" s="3"/>
      <c r="V528" s="3"/>
      <c r="W528" s="3"/>
      <c r="X528" s="3"/>
      <c r="Y528" s="3"/>
      <c r="Z528" s="3"/>
    </row>
    <row r="529" ht="15.75" customHeight="1">
      <c r="A529" s="3"/>
      <c r="B529" s="3"/>
      <c r="C529" s="7"/>
      <c r="D529" s="3"/>
      <c r="E529" s="3"/>
      <c r="F529" s="7"/>
      <c r="G529" s="4"/>
      <c r="H529" s="3"/>
      <c r="I529" s="3"/>
      <c r="J529" s="3"/>
      <c r="K529" s="3"/>
      <c r="L529" s="3"/>
      <c r="M529" s="3"/>
      <c r="N529" s="3"/>
      <c r="O529" s="3"/>
      <c r="P529" s="3"/>
      <c r="Q529" s="3"/>
      <c r="R529" s="3"/>
      <c r="S529" s="3"/>
      <c r="T529" s="3"/>
      <c r="U529" s="3"/>
      <c r="V529" s="3"/>
      <c r="W529" s="3"/>
      <c r="X529" s="3"/>
      <c r="Y529" s="3"/>
      <c r="Z529" s="3"/>
    </row>
    <row r="530" ht="15.75" customHeight="1">
      <c r="A530" s="3"/>
      <c r="B530" s="3"/>
      <c r="C530" s="7"/>
      <c r="D530" s="3"/>
      <c r="E530" s="3"/>
      <c r="F530" s="7"/>
      <c r="G530" s="4"/>
      <c r="H530" s="3"/>
      <c r="I530" s="3"/>
      <c r="J530" s="3"/>
      <c r="K530" s="3"/>
      <c r="L530" s="3"/>
      <c r="M530" s="3"/>
      <c r="N530" s="3"/>
      <c r="O530" s="3"/>
      <c r="P530" s="3"/>
      <c r="Q530" s="3"/>
      <c r="R530" s="3"/>
      <c r="S530" s="3"/>
      <c r="T530" s="3"/>
      <c r="U530" s="3"/>
      <c r="V530" s="3"/>
      <c r="W530" s="3"/>
      <c r="X530" s="3"/>
      <c r="Y530" s="3"/>
      <c r="Z530" s="3"/>
    </row>
    <row r="531" ht="15.75" customHeight="1">
      <c r="A531" s="3"/>
      <c r="B531" s="3"/>
      <c r="C531" s="7"/>
      <c r="D531" s="3"/>
      <c r="E531" s="3"/>
      <c r="F531" s="7"/>
      <c r="G531" s="4"/>
      <c r="H531" s="3"/>
      <c r="I531" s="3"/>
      <c r="J531" s="3"/>
      <c r="K531" s="3"/>
      <c r="L531" s="3"/>
      <c r="M531" s="3"/>
      <c r="N531" s="3"/>
      <c r="O531" s="3"/>
      <c r="P531" s="3"/>
      <c r="Q531" s="3"/>
      <c r="R531" s="3"/>
      <c r="S531" s="3"/>
      <c r="T531" s="3"/>
      <c r="U531" s="3"/>
      <c r="V531" s="3"/>
      <c r="W531" s="3"/>
      <c r="X531" s="3"/>
      <c r="Y531" s="3"/>
      <c r="Z531" s="3"/>
    </row>
    <row r="532" ht="15.75" customHeight="1">
      <c r="A532" s="3"/>
      <c r="B532" s="3"/>
      <c r="C532" s="7"/>
      <c r="D532" s="3"/>
      <c r="E532" s="3"/>
      <c r="F532" s="7"/>
      <c r="G532" s="4"/>
      <c r="H532" s="3"/>
      <c r="I532" s="3"/>
      <c r="J532" s="3"/>
      <c r="K532" s="3"/>
      <c r="L532" s="3"/>
      <c r="M532" s="3"/>
      <c r="N532" s="3"/>
      <c r="O532" s="3"/>
      <c r="P532" s="3"/>
      <c r="Q532" s="3"/>
      <c r="R532" s="3"/>
      <c r="S532" s="3"/>
      <c r="T532" s="3"/>
      <c r="U532" s="3"/>
      <c r="V532" s="3"/>
      <c r="W532" s="3"/>
      <c r="X532" s="3"/>
      <c r="Y532" s="3"/>
      <c r="Z532" s="3"/>
    </row>
    <row r="533" ht="15.75" customHeight="1">
      <c r="A533" s="3"/>
      <c r="B533" s="3"/>
      <c r="C533" s="7"/>
      <c r="D533" s="3"/>
      <c r="E533" s="3"/>
      <c r="F533" s="7"/>
      <c r="G533" s="4"/>
      <c r="H533" s="3"/>
      <c r="I533" s="3"/>
      <c r="J533" s="3"/>
      <c r="K533" s="3"/>
      <c r="L533" s="3"/>
      <c r="M533" s="3"/>
      <c r="N533" s="3"/>
      <c r="O533" s="3"/>
      <c r="P533" s="3"/>
      <c r="Q533" s="3"/>
      <c r="R533" s="3"/>
      <c r="S533" s="3"/>
      <c r="T533" s="3"/>
      <c r="U533" s="3"/>
      <c r="V533" s="3"/>
      <c r="W533" s="3"/>
      <c r="X533" s="3"/>
      <c r="Y533" s="3"/>
      <c r="Z533" s="3"/>
    </row>
    <row r="534" ht="15.75" customHeight="1">
      <c r="A534" s="3"/>
      <c r="B534" s="3"/>
      <c r="C534" s="7"/>
      <c r="D534" s="3"/>
      <c r="E534" s="3"/>
      <c r="F534" s="7"/>
      <c r="G534" s="4"/>
      <c r="H534" s="3"/>
      <c r="I534" s="3"/>
      <c r="J534" s="3"/>
      <c r="K534" s="3"/>
      <c r="L534" s="3"/>
      <c r="M534" s="3"/>
      <c r="N534" s="3"/>
      <c r="O534" s="3"/>
      <c r="P534" s="3"/>
      <c r="Q534" s="3"/>
      <c r="R534" s="3"/>
      <c r="S534" s="3"/>
      <c r="T534" s="3"/>
      <c r="U534" s="3"/>
      <c r="V534" s="3"/>
      <c r="W534" s="3"/>
      <c r="X534" s="3"/>
      <c r="Y534" s="3"/>
      <c r="Z534" s="3"/>
    </row>
    <row r="535" ht="15.75" customHeight="1">
      <c r="A535" s="3"/>
      <c r="B535" s="3"/>
      <c r="C535" s="7"/>
      <c r="D535" s="3"/>
      <c r="E535" s="3"/>
      <c r="F535" s="7"/>
      <c r="G535" s="4"/>
      <c r="H535" s="3"/>
      <c r="I535" s="3"/>
      <c r="J535" s="3"/>
      <c r="K535" s="3"/>
      <c r="L535" s="3"/>
      <c r="M535" s="3"/>
      <c r="N535" s="3"/>
      <c r="O535" s="3"/>
      <c r="P535" s="3"/>
      <c r="Q535" s="3"/>
      <c r="R535" s="3"/>
      <c r="S535" s="3"/>
      <c r="T535" s="3"/>
      <c r="U535" s="3"/>
      <c r="V535" s="3"/>
      <c r="W535" s="3"/>
      <c r="X535" s="3"/>
      <c r="Y535" s="3"/>
      <c r="Z535" s="3"/>
    </row>
    <row r="536" ht="15.75" customHeight="1">
      <c r="A536" s="3"/>
      <c r="B536" s="3"/>
      <c r="C536" s="7"/>
      <c r="D536" s="3"/>
      <c r="E536" s="3"/>
      <c r="F536" s="7"/>
      <c r="G536" s="4"/>
      <c r="H536" s="3"/>
      <c r="I536" s="3"/>
      <c r="J536" s="3"/>
      <c r="K536" s="3"/>
      <c r="L536" s="3"/>
      <c r="M536" s="3"/>
      <c r="N536" s="3"/>
      <c r="O536" s="3"/>
      <c r="P536" s="3"/>
      <c r="Q536" s="3"/>
      <c r="R536" s="3"/>
      <c r="S536" s="3"/>
      <c r="T536" s="3"/>
      <c r="U536" s="3"/>
      <c r="V536" s="3"/>
      <c r="W536" s="3"/>
      <c r="X536" s="3"/>
      <c r="Y536" s="3"/>
      <c r="Z536" s="3"/>
    </row>
    <row r="537" ht="15.75" customHeight="1">
      <c r="A537" s="3"/>
      <c r="B537" s="3"/>
      <c r="C537" s="7"/>
      <c r="D537" s="3"/>
      <c r="E537" s="3"/>
      <c r="F537" s="7"/>
      <c r="G537" s="4"/>
      <c r="H537" s="3"/>
      <c r="I537" s="3"/>
      <c r="J537" s="3"/>
      <c r="K537" s="3"/>
      <c r="L537" s="3"/>
      <c r="M537" s="3"/>
      <c r="N537" s="3"/>
      <c r="O537" s="3"/>
      <c r="P537" s="3"/>
      <c r="Q537" s="3"/>
      <c r="R537" s="3"/>
      <c r="S537" s="3"/>
      <c r="T537" s="3"/>
      <c r="U537" s="3"/>
      <c r="V537" s="3"/>
      <c r="W537" s="3"/>
      <c r="X537" s="3"/>
      <c r="Y537" s="3"/>
      <c r="Z537" s="3"/>
    </row>
    <row r="538" ht="15.75" customHeight="1">
      <c r="A538" s="3"/>
      <c r="B538" s="3"/>
      <c r="C538" s="7"/>
      <c r="D538" s="3"/>
      <c r="E538" s="3"/>
      <c r="F538" s="7"/>
      <c r="G538" s="4"/>
      <c r="H538" s="3"/>
      <c r="I538" s="3"/>
      <c r="J538" s="3"/>
      <c r="K538" s="3"/>
      <c r="L538" s="3"/>
      <c r="M538" s="3"/>
      <c r="N538" s="3"/>
      <c r="O538" s="3"/>
      <c r="P538" s="3"/>
      <c r="Q538" s="3"/>
      <c r="R538" s="3"/>
      <c r="S538" s="3"/>
      <c r="T538" s="3"/>
      <c r="U538" s="3"/>
      <c r="V538" s="3"/>
      <c r="W538" s="3"/>
      <c r="X538" s="3"/>
      <c r="Y538" s="3"/>
      <c r="Z538" s="3"/>
    </row>
    <row r="539" ht="15.75" customHeight="1">
      <c r="A539" s="3"/>
      <c r="B539" s="3"/>
      <c r="C539" s="7"/>
      <c r="D539" s="3"/>
      <c r="E539" s="3"/>
      <c r="F539" s="7"/>
      <c r="G539" s="4"/>
      <c r="H539" s="3"/>
      <c r="I539" s="3"/>
      <c r="J539" s="3"/>
      <c r="K539" s="3"/>
      <c r="L539" s="3"/>
      <c r="M539" s="3"/>
      <c r="N539" s="3"/>
      <c r="O539" s="3"/>
      <c r="P539" s="3"/>
      <c r="Q539" s="3"/>
      <c r="R539" s="3"/>
      <c r="S539" s="3"/>
      <c r="T539" s="3"/>
      <c r="U539" s="3"/>
      <c r="V539" s="3"/>
      <c r="W539" s="3"/>
      <c r="X539" s="3"/>
      <c r="Y539" s="3"/>
      <c r="Z539" s="3"/>
    </row>
    <row r="540" ht="15.75" customHeight="1">
      <c r="A540" s="3"/>
      <c r="B540" s="3"/>
      <c r="C540" s="7"/>
      <c r="D540" s="3"/>
      <c r="E540" s="3"/>
      <c r="F540" s="7"/>
      <c r="G540" s="4"/>
      <c r="H540" s="3"/>
      <c r="I540" s="3"/>
      <c r="J540" s="3"/>
      <c r="K540" s="3"/>
      <c r="L540" s="3"/>
      <c r="M540" s="3"/>
      <c r="N540" s="3"/>
      <c r="O540" s="3"/>
      <c r="P540" s="3"/>
      <c r="Q540" s="3"/>
      <c r="R540" s="3"/>
      <c r="S540" s="3"/>
      <c r="T540" s="3"/>
      <c r="U540" s="3"/>
      <c r="V540" s="3"/>
      <c r="W540" s="3"/>
      <c r="X540" s="3"/>
      <c r="Y540" s="3"/>
      <c r="Z540" s="3"/>
    </row>
    <row r="541" ht="15.75" customHeight="1">
      <c r="A541" s="3"/>
      <c r="B541" s="3"/>
      <c r="C541" s="7"/>
      <c r="D541" s="3"/>
      <c r="E541" s="3"/>
      <c r="F541" s="7"/>
      <c r="G541" s="4"/>
      <c r="H541" s="3"/>
      <c r="I541" s="3"/>
      <c r="J541" s="3"/>
      <c r="K541" s="3"/>
      <c r="L541" s="3"/>
      <c r="M541" s="3"/>
      <c r="N541" s="3"/>
      <c r="O541" s="3"/>
      <c r="P541" s="3"/>
      <c r="Q541" s="3"/>
      <c r="R541" s="3"/>
      <c r="S541" s="3"/>
      <c r="T541" s="3"/>
      <c r="U541" s="3"/>
      <c r="V541" s="3"/>
      <c r="W541" s="3"/>
      <c r="X541" s="3"/>
      <c r="Y541" s="3"/>
      <c r="Z541" s="3"/>
    </row>
    <row r="542" ht="15.75" customHeight="1">
      <c r="A542" s="3"/>
      <c r="B542" s="3"/>
      <c r="C542" s="7"/>
      <c r="D542" s="3"/>
      <c r="E542" s="3"/>
      <c r="F542" s="7"/>
      <c r="G542" s="4"/>
      <c r="H542" s="3"/>
      <c r="I542" s="3"/>
      <c r="J542" s="3"/>
      <c r="K542" s="3"/>
      <c r="L542" s="3"/>
      <c r="M542" s="3"/>
      <c r="N542" s="3"/>
      <c r="O542" s="3"/>
      <c r="P542" s="3"/>
      <c r="Q542" s="3"/>
      <c r="R542" s="3"/>
      <c r="S542" s="3"/>
      <c r="T542" s="3"/>
      <c r="U542" s="3"/>
      <c r="V542" s="3"/>
      <c r="W542" s="3"/>
      <c r="X542" s="3"/>
      <c r="Y542" s="3"/>
      <c r="Z542" s="3"/>
    </row>
    <row r="543" ht="15.75" customHeight="1">
      <c r="A543" s="3"/>
      <c r="B543" s="3"/>
      <c r="C543" s="7"/>
      <c r="D543" s="3"/>
      <c r="E543" s="3"/>
      <c r="F543" s="7"/>
      <c r="G543" s="4"/>
      <c r="H543" s="3"/>
      <c r="I543" s="3"/>
      <c r="J543" s="3"/>
      <c r="K543" s="3"/>
      <c r="L543" s="3"/>
      <c r="M543" s="3"/>
      <c r="N543" s="3"/>
      <c r="O543" s="3"/>
      <c r="P543" s="3"/>
      <c r="Q543" s="3"/>
      <c r="R543" s="3"/>
      <c r="S543" s="3"/>
      <c r="T543" s="3"/>
      <c r="U543" s="3"/>
      <c r="V543" s="3"/>
      <c r="W543" s="3"/>
      <c r="X543" s="3"/>
      <c r="Y543" s="3"/>
      <c r="Z543" s="3"/>
    </row>
    <row r="544" ht="15.75" customHeight="1">
      <c r="A544" s="3"/>
      <c r="B544" s="3"/>
      <c r="C544" s="7"/>
      <c r="D544" s="3"/>
      <c r="E544" s="3"/>
      <c r="F544" s="7"/>
      <c r="G544" s="4"/>
      <c r="H544" s="3"/>
      <c r="I544" s="3"/>
      <c r="J544" s="3"/>
      <c r="K544" s="3"/>
      <c r="L544" s="3"/>
      <c r="M544" s="3"/>
      <c r="N544" s="3"/>
      <c r="O544" s="3"/>
      <c r="P544" s="3"/>
      <c r="Q544" s="3"/>
      <c r="R544" s="3"/>
      <c r="S544" s="3"/>
      <c r="T544" s="3"/>
      <c r="U544" s="3"/>
      <c r="V544" s="3"/>
      <c r="W544" s="3"/>
      <c r="X544" s="3"/>
      <c r="Y544" s="3"/>
      <c r="Z544" s="3"/>
    </row>
    <row r="545" ht="15.75" customHeight="1">
      <c r="A545" s="3"/>
      <c r="B545" s="3"/>
      <c r="C545" s="7"/>
      <c r="D545" s="3"/>
      <c r="E545" s="3"/>
      <c r="F545" s="7"/>
      <c r="G545" s="4"/>
      <c r="H545" s="3"/>
      <c r="I545" s="3"/>
      <c r="J545" s="3"/>
      <c r="K545" s="3"/>
      <c r="L545" s="3"/>
      <c r="M545" s="3"/>
      <c r="N545" s="3"/>
      <c r="O545" s="3"/>
      <c r="P545" s="3"/>
      <c r="Q545" s="3"/>
      <c r="R545" s="3"/>
      <c r="S545" s="3"/>
      <c r="T545" s="3"/>
      <c r="U545" s="3"/>
      <c r="V545" s="3"/>
      <c r="W545" s="3"/>
      <c r="X545" s="3"/>
      <c r="Y545" s="3"/>
      <c r="Z545" s="3"/>
    </row>
    <row r="546" ht="15.75" customHeight="1">
      <c r="A546" s="3"/>
      <c r="B546" s="3"/>
      <c r="C546" s="7"/>
      <c r="D546" s="3"/>
      <c r="E546" s="3"/>
      <c r="F546" s="7"/>
      <c r="G546" s="4"/>
      <c r="H546" s="3"/>
      <c r="I546" s="3"/>
      <c r="J546" s="3"/>
      <c r="K546" s="3"/>
      <c r="L546" s="3"/>
      <c r="M546" s="3"/>
      <c r="N546" s="3"/>
      <c r="O546" s="3"/>
      <c r="P546" s="3"/>
      <c r="Q546" s="3"/>
      <c r="R546" s="3"/>
      <c r="S546" s="3"/>
      <c r="T546" s="3"/>
      <c r="U546" s="3"/>
      <c r="V546" s="3"/>
      <c r="W546" s="3"/>
      <c r="X546" s="3"/>
      <c r="Y546" s="3"/>
      <c r="Z546" s="3"/>
    </row>
    <row r="547" ht="15.75" customHeight="1">
      <c r="A547" s="3"/>
      <c r="B547" s="3"/>
      <c r="C547" s="7"/>
      <c r="D547" s="3"/>
      <c r="E547" s="3"/>
      <c r="F547" s="7"/>
      <c r="G547" s="4"/>
      <c r="H547" s="3"/>
      <c r="I547" s="3"/>
      <c r="J547" s="3"/>
      <c r="K547" s="3"/>
      <c r="L547" s="3"/>
      <c r="M547" s="3"/>
      <c r="N547" s="3"/>
      <c r="O547" s="3"/>
      <c r="P547" s="3"/>
      <c r="Q547" s="3"/>
      <c r="R547" s="3"/>
      <c r="S547" s="3"/>
      <c r="T547" s="3"/>
      <c r="U547" s="3"/>
      <c r="V547" s="3"/>
      <c r="W547" s="3"/>
      <c r="X547" s="3"/>
      <c r="Y547" s="3"/>
      <c r="Z547" s="3"/>
    </row>
    <row r="548" ht="15.75" customHeight="1">
      <c r="A548" s="3"/>
      <c r="B548" s="3"/>
      <c r="C548" s="7"/>
      <c r="D548" s="3"/>
      <c r="E548" s="3"/>
      <c r="F548" s="7"/>
      <c r="G548" s="4"/>
      <c r="H548" s="3"/>
      <c r="I548" s="3"/>
      <c r="J548" s="3"/>
      <c r="K548" s="3"/>
      <c r="L548" s="3"/>
      <c r="M548" s="3"/>
      <c r="N548" s="3"/>
      <c r="O548" s="3"/>
      <c r="P548" s="3"/>
      <c r="Q548" s="3"/>
      <c r="R548" s="3"/>
      <c r="S548" s="3"/>
      <c r="T548" s="3"/>
      <c r="U548" s="3"/>
      <c r="V548" s="3"/>
      <c r="W548" s="3"/>
      <c r="X548" s="3"/>
      <c r="Y548" s="3"/>
      <c r="Z548" s="3"/>
    </row>
    <row r="549" ht="15.75" customHeight="1">
      <c r="A549" s="3"/>
      <c r="B549" s="3"/>
      <c r="C549" s="7"/>
      <c r="D549" s="3"/>
      <c r="E549" s="3"/>
      <c r="F549" s="7"/>
      <c r="G549" s="4"/>
      <c r="H549" s="3"/>
      <c r="I549" s="3"/>
      <c r="J549" s="3"/>
      <c r="K549" s="3"/>
      <c r="L549" s="3"/>
      <c r="M549" s="3"/>
      <c r="N549" s="3"/>
      <c r="O549" s="3"/>
      <c r="P549" s="3"/>
      <c r="Q549" s="3"/>
      <c r="R549" s="3"/>
      <c r="S549" s="3"/>
      <c r="T549" s="3"/>
      <c r="U549" s="3"/>
      <c r="V549" s="3"/>
      <c r="W549" s="3"/>
      <c r="X549" s="3"/>
      <c r="Y549" s="3"/>
      <c r="Z549" s="3"/>
    </row>
    <row r="550" ht="15.75" customHeight="1">
      <c r="A550" s="3"/>
      <c r="B550" s="3"/>
      <c r="C550" s="7"/>
      <c r="D550" s="3"/>
      <c r="E550" s="3"/>
      <c r="F550" s="7"/>
      <c r="G550" s="4"/>
      <c r="H550" s="3"/>
      <c r="I550" s="3"/>
      <c r="J550" s="3"/>
      <c r="K550" s="3"/>
      <c r="L550" s="3"/>
      <c r="M550" s="3"/>
      <c r="N550" s="3"/>
      <c r="O550" s="3"/>
      <c r="P550" s="3"/>
      <c r="Q550" s="3"/>
      <c r="R550" s="3"/>
      <c r="S550" s="3"/>
      <c r="T550" s="3"/>
      <c r="U550" s="3"/>
      <c r="V550" s="3"/>
      <c r="W550" s="3"/>
      <c r="X550" s="3"/>
      <c r="Y550" s="3"/>
      <c r="Z550" s="3"/>
    </row>
    <row r="551" ht="15.75" customHeight="1">
      <c r="A551" s="3"/>
      <c r="B551" s="3"/>
      <c r="C551" s="7"/>
      <c r="D551" s="3"/>
      <c r="E551" s="3"/>
      <c r="F551" s="7"/>
      <c r="G551" s="4"/>
      <c r="H551" s="3"/>
      <c r="I551" s="3"/>
      <c r="J551" s="3"/>
      <c r="K551" s="3"/>
      <c r="L551" s="3"/>
      <c r="M551" s="3"/>
      <c r="N551" s="3"/>
      <c r="O551" s="3"/>
      <c r="P551" s="3"/>
      <c r="Q551" s="3"/>
      <c r="R551" s="3"/>
      <c r="S551" s="3"/>
      <c r="T551" s="3"/>
      <c r="U551" s="3"/>
      <c r="V551" s="3"/>
      <c r="W551" s="3"/>
      <c r="X551" s="3"/>
      <c r="Y551" s="3"/>
      <c r="Z551" s="3"/>
    </row>
    <row r="552" ht="15.75" customHeight="1">
      <c r="A552" s="3"/>
      <c r="B552" s="3"/>
      <c r="C552" s="7"/>
      <c r="D552" s="3"/>
      <c r="E552" s="3"/>
      <c r="F552" s="7"/>
      <c r="G552" s="4"/>
      <c r="H552" s="3"/>
      <c r="I552" s="3"/>
      <c r="J552" s="3"/>
      <c r="K552" s="3"/>
      <c r="L552" s="3"/>
      <c r="M552" s="3"/>
      <c r="N552" s="3"/>
      <c r="O552" s="3"/>
      <c r="P552" s="3"/>
      <c r="Q552" s="3"/>
      <c r="R552" s="3"/>
      <c r="S552" s="3"/>
      <c r="T552" s="3"/>
      <c r="U552" s="3"/>
      <c r="V552" s="3"/>
      <c r="W552" s="3"/>
      <c r="X552" s="3"/>
      <c r="Y552" s="3"/>
      <c r="Z552" s="3"/>
    </row>
    <row r="553" ht="15.75" customHeight="1">
      <c r="A553" s="3"/>
      <c r="B553" s="3"/>
      <c r="C553" s="7"/>
      <c r="D553" s="3"/>
      <c r="E553" s="3"/>
      <c r="F553" s="7"/>
      <c r="G553" s="4"/>
      <c r="H553" s="3"/>
      <c r="I553" s="3"/>
      <c r="J553" s="3"/>
      <c r="K553" s="3"/>
      <c r="L553" s="3"/>
      <c r="M553" s="3"/>
      <c r="N553" s="3"/>
      <c r="O553" s="3"/>
      <c r="P553" s="3"/>
      <c r="Q553" s="3"/>
      <c r="R553" s="3"/>
      <c r="S553" s="3"/>
      <c r="T553" s="3"/>
      <c r="U553" s="3"/>
      <c r="V553" s="3"/>
      <c r="W553" s="3"/>
      <c r="X553" s="3"/>
      <c r="Y553" s="3"/>
      <c r="Z553" s="3"/>
    </row>
    <row r="554" ht="15.75" customHeight="1">
      <c r="A554" s="3"/>
      <c r="B554" s="3"/>
      <c r="C554" s="7"/>
      <c r="D554" s="3"/>
      <c r="E554" s="3"/>
      <c r="F554" s="7"/>
      <c r="G554" s="4"/>
      <c r="H554" s="3"/>
      <c r="I554" s="3"/>
      <c r="J554" s="3"/>
      <c r="K554" s="3"/>
      <c r="L554" s="3"/>
      <c r="M554" s="3"/>
      <c r="N554" s="3"/>
      <c r="O554" s="3"/>
      <c r="P554" s="3"/>
      <c r="Q554" s="3"/>
      <c r="R554" s="3"/>
      <c r="S554" s="3"/>
      <c r="T554" s="3"/>
      <c r="U554" s="3"/>
      <c r="V554" s="3"/>
      <c r="W554" s="3"/>
      <c r="X554" s="3"/>
      <c r="Y554" s="3"/>
      <c r="Z554" s="3"/>
    </row>
    <row r="555" ht="15.75" customHeight="1">
      <c r="A555" s="3"/>
      <c r="B555" s="3"/>
      <c r="C555" s="7"/>
      <c r="D555" s="3"/>
      <c r="E555" s="3"/>
      <c r="F555" s="7"/>
      <c r="G555" s="4"/>
      <c r="H555" s="3"/>
      <c r="I555" s="3"/>
      <c r="J555" s="3"/>
      <c r="K555" s="3"/>
      <c r="L555" s="3"/>
      <c r="M555" s="3"/>
      <c r="N555" s="3"/>
      <c r="O555" s="3"/>
      <c r="P555" s="3"/>
      <c r="Q555" s="3"/>
      <c r="R555" s="3"/>
      <c r="S555" s="3"/>
      <c r="T555" s="3"/>
      <c r="U555" s="3"/>
      <c r="V555" s="3"/>
      <c r="W555" s="3"/>
      <c r="X555" s="3"/>
      <c r="Y555" s="3"/>
      <c r="Z555" s="3"/>
    </row>
    <row r="556" ht="15.75" customHeight="1">
      <c r="A556" s="3"/>
      <c r="B556" s="3"/>
      <c r="C556" s="7"/>
      <c r="D556" s="3"/>
      <c r="E556" s="3"/>
      <c r="F556" s="7"/>
      <c r="G556" s="4"/>
      <c r="H556" s="3"/>
      <c r="I556" s="3"/>
      <c r="J556" s="3"/>
      <c r="K556" s="3"/>
      <c r="L556" s="3"/>
      <c r="M556" s="3"/>
      <c r="N556" s="3"/>
      <c r="O556" s="3"/>
      <c r="P556" s="3"/>
      <c r="Q556" s="3"/>
      <c r="R556" s="3"/>
      <c r="S556" s="3"/>
      <c r="T556" s="3"/>
      <c r="U556" s="3"/>
      <c r="V556" s="3"/>
      <c r="W556" s="3"/>
      <c r="X556" s="3"/>
      <c r="Y556" s="3"/>
      <c r="Z556" s="3"/>
    </row>
    <row r="557" ht="15.75" customHeight="1">
      <c r="A557" s="3"/>
      <c r="B557" s="3"/>
      <c r="C557" s="7"/>
      <c r="D557" s="3"/>
      <c r="E557" s="3"/>
      <c r="F557" s="7"/>
      <c r="G557" s="4"/>
      <c r="H557" s="3"/>
      <c r="I557" s="3"/>
      <c r="J557" s="3"/>
      <c r="K557" s="3"/>
      <c r="L557" s="3"/>
      <c r="M557" s="3"/>
      <c r="N557" s="3"/>
      <c r="O557" s="3"/>
      <c r="P557" s="3"/>
      <c r="Q557" s="3"/>
      <c r="R557" s="3"/>
      <c r="S557" s="3"/>
      <c r="T557" s="3"/>
      <c r="U557" s="3"/>
      <c r="V557" s="3"/>
      <c r="W557" s="3"/>
      <c r="X557" s="3"/>
      <c r="Y557" s="3"/>
      <c r="Z557" s="3"/>
    </row>
    <row r="558" ht="15.75" customHeight="1">
      <c r="A558" s="3"/>
      <c r="B558" s="3"/>
      <c r="C558" s="7"/>
      <c r="D558" s="3"/>
      <c r="E558" s="3"/>
      <c r="F558" s="7"/>
      <c r="G558" s="4"/>
      <c r="H558" s="3"/>
      <c r="I558" s="3"/>
      <c r="J558" s="3"/>
      <c r="K558" s="3"/>
      <c r="L558" s="3"/>
      <c r="M558" s="3"/>
      <c r="N558" s="3"/>
      <c r="O558" s="3"/>
      <c r="P558" s="3"/>
      <c r="Q558" s="3"/>
      <c r="R558" s="3"/>
      <c r="S558" s="3"/>
      <c r="T558" s="3"/>
      <c r="U558" s="3"/>
      <c r="V558" s="3"/>
      <c r="W558" s="3"/>
      <c r="X558" s="3"/>
      <c r="Y558" s="3"/>
      <c r="Z558" s="3"/>
    </row>
    <row r="559" ht="15.75" customHeight="1">
      <c r="A559" s="3"/>
      <c r="B559" s="3"/>
      <c r="C559" s="7"/>
      <c r="D559" s="3"/>
      <c r="E559" s="3"/>
      <c r="F559" s="7"/>
      <c r="G559" s="4"/>
      <c r="H559" s="3"/>
      <c r="I559" s="3"/>
      <c r="J559" s="3"/>
      <c r="K559" s="3"/>
      <c r="L559" s="3"/>
      <c r="M559" s="3"/>
      <c r="N559" s="3"/>
      <c r="O559" s="3"/>
      <c r="P559" s="3"/>
      <c r="Q559" s="3"/>
      <c r="R559" s="3"/>
      <c r="S559" s="3"/>
      <c r="T559" s="3"/>
      <c r="U559" s="3"/>
      <c r="V559" s="3"/>
      <c r="W559" s="3"/>
      <c r="X559" s="3"/>
      <c r="Y559" s="3"/>
      <c r="Z559" s="3"/>
    </row>
    <row r="560" ht="15.75" customHeight="1">
      <c r="A560" s="3"/>
      <c r="B560" s="3"/>
      <c r="C560" s="7"/>
      <c r="D560" s="3"/>
      <c r="E560" s="3"/>
      <c r="F560" s="7"/>
      <c r="G560" s="4"/>
      <c r="H560" s="3"/>
      <c r="I560" s="3"/>
      <c r="J560" s="3"/>
      <c r="K560" s="3"/>
      <c r="L560" s="3"/>
      <c r="M560" s="3"/>
      <c r="N560" s="3"/>
      <c r="O560" s="3"/>
      <c r="P560" s="3"/>
      <c r="Q560" s="3"/>
      <c r="R560" s="3"/>
      <c r="S560" s="3"/>
      <c r="T560" s="3"/>
      <c r="U560" s="3"/>
      <c r="V560" s="3"/>
      <c r="W560" s="3"/>
      <c r="X560" s="3"/>
      <c r="Y560" s="3"/>
      <c r="Z560" s="3"/>
    </row>
    <row r="561" ht="15.75" customHeight="1">
      <c r="A561" s="3"/>
      <c r="B561" s="3"/>
      <c r="C561" s="7"/>
      <c r="D561" s="3"/>
      <c r="E561" s="3"/>
      <c r="F561" s="7"/>
      <c r="G561" s="4"/>
      <c r="H561" s="3"/>
      <c r="I561" s="3"/>
      <c r="J561" s="3"/>
      <c r="K561" s="3"/>
      <c r="L561" s="3"/>
      <c r="M561" s="3"/>
      <c r="N561" s="3"/>
      <c r="O561" s="3"/>
      <c r="P561" s="3"/>
      <c r="Q561" s="3"/>
      <c r="R561" s="3"/>
      <c r="S561" s="3"/>
      <c r="T561" s="3"/>
      <c r="U561" s="3"/>
      <c r="V561" s="3"/>
      <c r="W561" s="3"/>
      <c r="X561" s="3"/>
      <c r="Y561" s="3"/>
      <c r="Z561" s="3"/>
    </row>
    <row r="562" ht="15.75" customHeight="1">
      <c r="A562" s="3"/>
      <c r="B562" s="3"/>
      <c r="C562" s="7"/>
      <c r="D562" s="3"/>
      <c r="E562" s="3"/>
      <c r="F562" s="7"/>
      <c r="G562" s="4"/>
      <c r="H562" s="3"/>
      <c r="I562" s="3"/>
      <c r="J562" s="3"/>
      <c r="K562" s="3"/>
      <c r="L562" s="3"/>
      <c r="M562" s="3"/>
      <c r="N562" s="3"/>
      <c r="O562" s="3"/>
      <c r="P562" s="3"/>
      <c r="Q562" s="3"/>
      <c r="R562" s="3"/>
      <c r="S562" s="3"/>
      <c r="T562" s="3"/>
      <c r="U562" s="3"/>
      <c r="V562" s="3"/>
      <c r="W562" s="3"/>
      <c r="X562" s="3"/>
      <c r="Y562" s="3"/>
      <c r="Z562" s="3"/>
    </row>
    <row r="563" ht="15.75" customHeight="1">
      <c r="A563" s="3"/>
      <c r="B563" s="3"/>
      <c r="C563" s="7"/>
      <c r="D563" s="3"/>
      <c r="E563" s="3"/>
      <c r="F563" s="7"/>
      <c r="G563" s="4"/>
      <c r="H563" s="3"/>
      <c r="I563" s="3"/>
      <c r="J563" s="3"/>
      <c r="K563" s="3"/>
      <c r="L563" s="3"/>
      <c r="M563" s="3"/>
      <c r="N563" s="3"/>
      <c r="O563" s="3"/>
      <c r="P563" s="3"/>
      <c r="Q563" s="3"/>
      <c r="R563" s="3"/>
      <c r="S563" s="3"/>
      <c r="T563" s="3"/>
      <c r="U563" s="3"/>
      <c r="V563" s="3"/>
      <c r="W563" s="3"/>
      <c r="X563" s="3"/>
      <c r="Y563" s="3"/>
      <c r="Z563" s="3"/>
    </row>
    <row r="564" ht="15.75" customHeight="1">
      <c r="A564" s="3"/>
      <c r="B564" s="3"/>
      <c r="C564" s="7"/>
      <c r="D564" s="3"/>
      <c r="E564" s="3"/>
      <c r="F564" s="7"/>
      <c r="G564" s="4"/>
      <c r="H564" s="3"/>
      <c r="I564" s="3"/>
      <c r="J564" s="3"/>
      <c r="K564" s="3"/>
      <c r="L564" s="3"/>
      <c r="M564" s="3"/>
      <c r="N564" s="3"/>
      <c r="O564" s="3"/>
      <c r="P564" s="3"/>
      <c r="Q564" s="3"/>
      <c r="R564" s="3"/>
      <c r="S564" s="3"/>
      <c r="T564" s="3"/>
      <c r="U564" s="3"/>
      <c r="V564" s="3"/>
      <c r="W564" s="3"/>
      <c r="X564" s="3"/>
      <c r="Y564" s="3"/>
      <c r="Z564" s="3"/>
    </row>
    <row r="565" ht="15.75" customHeight="1">
      <c r="A565" s="3"/>
      <c r="B565" s="3"/>
      <c r="C565" s="7"/>
      <c r="D565" s="3"/>
      <c r="E565" s="3"/>
      <c r="F565" s="7"/>
      <c r="G565" s="4"/>
      <c r="H565" s="3"/>
      <c r="I565" s="3"/>
      <c r="J565" s="3"/>
      <c r="K565" s="3"/>
      <c r="L565" s="3"/>
      <c r="M565" s="3"/>
      <c r="N565" s="3"/>
      <c r="O565" s="3"/>
      <c r="P565" s="3"/>
      <c r="Q565" s="3"/>
      <c r="R565" s="3"/>
      <c r="S565" s="3"/>
      <c r="T565" s="3"/>
      <c r="U565" s="3"/>
      <c r="V565" s="3"/>
      <c r="W565" s="3"/>
      <c r="X565" s="3"/>
      <c r="Y565" s="3"/>
      <c r="Z565" s="3"/>
    </row>
    <row r="566" ht="15.75" customHeight="1">
      <c r="A566" s="3"/>
      <c r="B566" s="3"/>
      <c r="C566" s="7"/>
      <c r="D566" s="3"/>
      <c r="E566" s="3"/>
      <c r="F566" s="7"/>
      <c r="G566" s="4"/>
      <c r="H566" s="3"/>
      <c r="I566" s="3"/>
      <c r="J566" s="3"/>
      <c r="K566" s="3"/>
      <c r="L566" s="3"/>
      <c r="M566" s="3"/>
      <c r="N566" s="3"/>
      <c r="O566" s="3"/>
      <c r="P566" s="3"/>
      <c r="Q566" s="3"/>
      <c r="R566" s="3"/>
      <c r="S566" s="3"/>
      <c r="T566" s="3"/>
      <c r="U566" s="3"/>
      <c r="V566" s="3"/>
      <c r="W566" s="3"/>
      <c r="X566" s="3"/>
      <c r="Y566" s="3"/>
      <c r="Z566" s="3"/>
    </row>
    <row r="567" ht="15.75" customHeight="1">
      <c r="A567" s="3"/>
      <c r="B567" s="3"/>
      <c r="C567" s="7"/>
      <c r="D567" s="3"/>
      <c r="E567" s="3"/>
      <c r="F567" s="7"/>
      <c r="G567" s="4"/>
      <c r="H567" s="3"/>
      <c r="I567" s="3"/>
      <c r="J567" s="3"/>
      <c r="K567" s="3"/>
      <c r="L567" s="3"/>
      <c r="M567" s="3"/>
      <c r="N567" s="3"/>
      <c r="O567" s="3"/>
      <c r="P567" s="3"/>
      <c r="Q567" s="3"/>
      <c r="R567" s="3"/>
      <c r="S567" s="3"/>
      <c r="T567" s="3"/>
      <c r="U567" s="3"/>
      <c r="V567" s="3"/>
      <c r="W567" s="3"/>
      <c r="X567" s="3"/>
      <c r="Y567" s="3"/>
      <c r="Z567" s="3"/>
    </row>
    <row r="568" ht="15.75" customHeight="1">
      <c r="A568" s="3"/>
      <c r="B568" s="3"/>
      <c r="C568" s="7"/>
      <c r="D568" s="3"/>
      <c r="E568" s="3"/>
      <c r="F568" s="7"/>
      <c r="G568" s="4"/>
      <c r="H568" s="3"/>
      <c r="I568" s="3"/>
      <c r="J568" s="3"/>
      <c r="K568" s="3"/>
      <c r="L568" s="3"/>
      <c r="M568" s="3"/>
      <c r="N568" s="3"/>
      <c r="O568" s="3"/>
      <c r="P568" s="3"/>
      <c r="Q568" s="3"/>
      <c r="R568" s="3"/>
      <c r="S568" s="3"/>
      <c r="T568" s="3"/>
      <c r="U568" s="3"/>
      <c r="V568" s="3"/>
      <c r="W568" s="3"/>
      <c r="X568" s="3"/>
      <c r="Y568" s="3"/>
      <c r="Z568" s="3"/>
    </row>
    <row r="569" ht="15.75" customHeight="1">
      <c r="A569" s="3"/>
      <c r="B569" s="3"/>
      <c r="C569" s="7"/>
      <c r="D569" s="3"/>
      <c r="E569" s="3"/>
      <c r="F569" s="7"/>
      <c r="G569" s="4"/>
      <c r="H569" s="3"/>
      <c r="I569" s="3"/>
      <c r="J569" s="3"/>
      <c r="K569" s="3"/>
      <c r="L569" s="3"/>
      <c r="M569" s="3"/>
      <c r="N569" s="3"/>
      <c r="O569" s="3"/>
      <c r="P569" s="3"/>
      <c r="Q569" s="3"/>
      <c r="R569" s="3"/>
      <c r="S569" s="3"/>
      <c r="T569" s="3"/>
      <c r="U569" s="3"/>
      <c r="V569" s="3"/>
      <c r="W569" s="3"/>
      <c r="X569" s="3"/>
      <c r="Y569" s="3"/>
      <c r="Z569" s="3"/>
    </row>
    <row r="570" ht="15.75" customHeight="1">
      <c r="A570" s="3"/>
      <c r="B570" s="3"/>
      <c r="C570" s="7"/>
      <c r="D570" s="3"/>
      <c r="E570" s="3"/>
      <c r="F570" s="7"/>
      <c r="G570" s="4"/>
      <c r="H570" s="3"/>
      <c r="I570" s="3"/>
      <c r="J570" s="3"/>
      <c r="K570" s="3"/>
      <c r="L570" s="3"/>
      <c r="M570" s="3"/>
      <c r="N570" s="3"/>
      <c r="O570" s="3"/>
      <c r="P570" s="3"/>
      <c r="Q570" s="3"/>
      <c r="R570" s="3"/>
      <c r="S570" s="3"/>
      <c r="T570" s="3"/>
      <c r="U570" s="3"/>
      <c r="V570" s="3"/>
      <c r="W570" s="3"/>
      <c r="X570" s="3"/>
      <c r="Y570" s="3"/>
      <c r="Z570" s="3"/>
    </row>
    <row r="571" ht="15.75" customHeight="1">
      <c r="A571" s="3"/>
      <c r="B571" s="3"/>
      <c r="C571" s="7"/>
      <c r="D571" s="3"/>
      <c r="E571" s="3"/>
      <c r="F571" s="7"/>
      <c r="G571" s="4"/>
      <c r="H571" s="3"/>
      <c r="I571" s="3"/>
      <c r="J571" s="3"/>
      <c r="K571" s="3"/>
      <c r="L571" s="3"/>
      <c r="M571" s="3"/>
      <c r="N571" s="3"/>
      <c r="O571" s="3"/>
      <c r="P571" s="3"/>
      <c r="Q571" s="3"/>
      <c r="R571" s="3"/>
      <c r="S571" s="3"/>
      <c r="T571" s="3"/>
      <c r="U571" s="3"/>
      <c r="V571" s="3"/>
      <c r="W571" s="3"/>
      <c r="X571" s="3"/>
      <c r="Y571" s="3"/>
      <c r="Z571" s="3"/>
    </row>
    <row r="572" ht="15.75" customHeight="1">
      <c r="A572" s="3"/>
      <c r="B572" s="3"/>
      <c r="C572" s="7"/>
      <c r="D572" s="3"/>
      <c r="E572" s="3"/>
      <c r="F572" s="7"/>
      <c r="G572" s="4"/>
      <c r="H572" s="3"/>
      <c r="I572" s="3"/>
      <c r="J572" s="3"/>
      <c r="K572" s="3"/>
      <c r="L572" s="3"/>
      <c r="M572" s="3"/>
      <c r="N572" s="3"/>
      <c r="O572" s="3"/>
      <c r="P572" s="3"/>
      <c r="Q572" s="3"/>
      <c r="R572" s="3"/>
      <c r="S572" s="3"/>
      <c r="T572" s="3"/>
      <c r="U572" s="3"/>
      <c r="V572" s="3"/>
      <c r="W572" s="3"/>
      <c r="X572" s="3"/>
      <c r="Y572" s="3"/>
      <c r="Z572" s="3"/>
    </row>
    <row r="573" ht="15.75" customHeight="1">
      <c r="A573" s="3"/>
      <c r="B573" s="3"/>
      <c r="C573" s="7"/>
      <c r="D573" s="3"/>
      <c r="E573" s="3"/>
      <c r="F573" s="7"/>
      <c r="G573" s="4"/>
      <c r="H573" s="3"/>
      <c r="I573" s="3"/>
      <c r="J573" s="3"/>
      <c r="K573" s="3"/>
      <c r="L573" s="3"/>
      <c r="M573" s="3"/>
      <c r="N573" s="3"/>
      <c r="O573" s="3"/>
      <c r="P573" s="3"/>
      <c r="Q573" s="3"/>
      <c r="R573" s="3"/>
      <c r="S573" s="3"/>
      <c r="T573" s="3"/>
      <c r="U573" s="3"/>
      <c r="V573" s="3"/>
      <c r="W573" s="3"/>
      <c r="X573" s="3"/>
      <c r="Y573" s="3"/>
      <c r="Z573" s="3"/>
    </row>
    <row r="574" ht="15.75" customHeight="1">
      <c r="A574" s="3"/>
      <c r="B574" s="3"/>
      <c r="C574" s="7"/>
      <c r="D574" s="3"/>
      <c r="E574" s="3"/>
      <c r="F574" s="7"/>
      <c r="G574" s="4"/>
      <c r="H574" s="3"/>
      <c r="I574" s="3"/>
      <c r="J574" s="3"/>
      <c r="K574" s="3"/>
      <c r="L574" s="3"/>
      <c r="M574" s="3"/>
      <c r="N574" s="3"/>
      <c r="O574" s="3"/>
      <c r="P574" s="3"/>
      <c r="Q574" s="3"/>
      <c r="R574" s="3"/>
      <c r="S574" s="3"/>
      <c r="T574" s="3"/>
      <c r="U574" s="3"/>
      <c r="V574" s="3"/>
      <c r="W574" s="3"/>
      <c r="X574" s="3"/>
      <c r="Y574" s="3"/>
      <c r="Z574" s="3"/>
    </row>
    <row r="575" ht="15.75" customHeight="1">
      <c r="A575" s="3"/>
      <c r="B575" s="3"/>
      <c r="C575" s="7"/>
      <c r="D575" s="3"/>
      <c r="E575" s="3"/>
      <c r="F575" s="7"/>
      <c r="G575" s="4"/>
      <c r="H575" s="3"/>
      <c r="I575" s="3"/>
      <c r="J575" s="3"/>
      <c r="K575" s="3"/>
      <c r="L575" s="3"/>
      <c r="M575" s="3"/>
      <c r="N575" s="3"/>
      <c r="O575" s="3"/>
      <c r="P575" s="3"/>
      <c r="Q575" s="3"/>
      <c r="R575" s="3"/>
      <c r="S575" s="3"/>
      <c r="T575" s="3"/>
      <c r="U575" s="3"/>
      <c r="V575" s="3"/>
      <c r="W575" s="3"/>
      <c r="X575" s="3"/>
      <c r="Y575" s="3"/>
      <c r="Z575" s="3"/>
    </row>
    <row r="576" ht="15.75" customHeight="1">
      <c r="A576" s="3"/>
      <c r="B576" s="3"/>
      <c r="C576" s="7"/>
      <c r="D576" s="3"/>
      <c r="E576" s="3"/>
      <c r="F576" s="7"/>
      <c r="G576" s="4"/>
      <c r="H576" s="3"/>
      <c r="I576" s="3"/>
      <c r="J576" s="3"/>
      <c r="K576" s="3"/>
      <c r="L576" s="3"/>
      <c r="M576" s="3"/>
      <c r="N576" s="3"/>
      <c r="O576" s="3"/>
      <c r="P576" s="3"/>
      <c r="Q576" s="3"/>
      <c r="R576" s="3"/>
      <c r="S576" s="3"/>
      <c r="T576" s="3"/>
      <c r="U576" s="3"/>
      <c r="V576" s="3"/>
      <c r="W576" s="3"/>
      <c r="X576" s="3"/>
      <c r="Y576" s="3"/>
      <c r="Z576" s="3"/>
    </row>
    <row r="577" ht="15.75" customHeight="1">
      <c r="A577" s="3"/>
      <c r="B577" s="3"/>
      <c r="C577" s="7"/>
      <c r="D577" s="3"/>
      <c r="E577" s="3"/>
      <c r="F577" s="7"/>
      <c r="G577" s="4"/>
      <c r="H577" s="3"/>
      <c r="I577" s="3"/>
      <c r="J577" s="3"/>
      <c r="K577" s="3"/>
      <c r="L577" s="3"/>
      <c r="M577" s="3"/>
      <c r="N577" s="3"/>
      <c r="O577" s="3"/>
      <c r="P577" s="3"/>
      <c r="Q577" s="3"/>
      <c r="R577" s="3"/>
      <c r="S577" s="3"/>
      <c r="T577" s="3"/>
      <c r="U577" s="3"/>
      <c r="V577" s="3"/>
      <c r="W577" s="3"/>
      <c r="X577" s="3"/>
      <c r="Y577" s="3"/>
      <c r="Z577" s="3"/>
    </row>
    <row r="578" ht="15.75" customHeight="1">
      <c r="A578" s="3"/>
      <c r="B578" s="3"/>
      <c r="C578" s="7"/>
      <c r="D578" s="3"/>
      <c r="E578" s="3"/>
      <c r="F578" s="7"/>
      <c r="G578" s="4"/>
      <c r="H578" s="3"/>
      <c r="I578" s="3"/>
      <c r="J578" s="3"/>
      <c r="K578" s="3"/>
      <c r="L578" s="3"/>
      <c r="M578" s="3"/>
      <c r="N578" s="3"/>
      <c r="O578" s="3"/>
      <c r="P578" s="3"/>
      <c r="Q578" s="3"/>
      <c r="R578" s="3"/>
      <c r="S578" s="3"/>
      <c r="T578" s="3"/>
      <c r="U578" s="3"/>
      <c r="V578" s="3"/>
      <c r="W578" s="3"/>
      <c r="X578" s="3"/>
      <c r="Y578" s="3"/>
      <c r="Z578" s="3"/>
    </row>
    <row r="579" ht="15.75" customHeight="1">
      <c r="A579" s="3"/>
      <c r="B579" s="3"/>
      <c r="C579" s="7"/>
      <c r="D579" s="3"/>
      <c r="E579" s="3"/>
      <c r="F579" s="7"/>
      <c r="G579" s="4"/>
      <c r="H579" s="3"/>
      <c r="I579" s="3"/>
      <c r="J579" s="3"/>
      <c r="K579" s="3"/>
      <c r="L579" s="3"/>
      <c r="M579" s="3"/>
      <c r="N579" s="3"/>
      <c r="O579" s="3"/>
      <c r="P579" s="3"/>
      <c r="Q579" s="3"/>
      <c r="R579" s="3"/>
      <c r="S579" s="3"/>
      <c r="T579" s="3"/>
      <c r="U579" s="3"/>
      <c r="V579" s="3"/>
      <c r="W579" s="3"/>
      <c r="X579" s="3"/>
      <c r="Y579" s="3"/>
      <c r="Z579" s="3"/>
    </row>
    <row r="580" ht="15.75" customHeight="1">
      <c r="A580" s="3"/>
      <c r="B580" s="3"/>
      <c r="C580" s="7"/>
      <c r="D580" s="3"/>
      <c r="E580" s="3"/>
      <c r="F580" s="7"/>
      <c r="G580" s="4"/>
      <c r="H580" s="3"/>
      <c r="I580" s="3"/>
      <c r="J580" s="3"/>
      <c r="K580" s="3"/>
      <c r="L580" s="3"/>
      <c r="M580" s="3"/>
      <c r="N580" s="3"/>
      <c r="O580" s="3"/>
      <c r="P580" s="3"/>
      <c r="Q580" s="3"/>
      <c r="R580" s="3"/>
      <c r="S580" s="3"/>
      <c r="T580" s="3"/>
      <c r="U580" s="3"/>
      <c r="V580" s="3"/>
      <c r="W580" s="3"/>
      <c r="X580" s="3"/>
      <c r="Y580" s="3"/>
      <c r="Z580" s="3"/>
    </row>
    <row r="581" ht="15.75" customHeight="1">
      <c r="A581" s="3"/>
      <c r="B581" s="3"/>
      <c r="C581" s="7"/>
      <c r="D581" s="3"/>
      <c r="E581" s="3"/>
      <c r="F581" s="7"/>
      <c r="G581" s="4"/>
      <c r="H581" s="3"/>
      <c r="I581" s="3"/>
      <c r="J581" s="3"/>
      <c r="K581" s="3"/>
      <c r="L581" s="3"/>
      <c r="M581" s="3"/>
      <c r="N581" s="3"/>
      <c r="O581" s="3"/>
      <c r="P581" s="3"/>
      <c r="Q581" s="3"/>
      <c r="R581" s="3"/>
      <c r="S581" s="3"/>
      <c r="T581" s="3"/>
      <c r="U581" s="3"/>
      <c r="V581" s="3"/>
      <c r="W581" s="3"/>
      <c r="X581" s="3"/>
      <c r="Y581" s="3"/>
      <c r="Z581" s="3"/>
    </row>
    <row r="582" ht="15.75" customHeight="1">
      <c r="A582" s="3"/>
      <c r="B582" s="3"/>
      <c r="C582" s="7"/>
      <c r="D582" s="3"/>
      <c r="E582" s="3"/>
      <c r="F582" s="7"/>
      <c r="G582" s="4"/>
      <c r="H582" s="3"/>
      <c r="I582" s="3"/>
      <c r="J582" s="3"/>
      <c r="K582" s="3"/>
      <c r="L582" s="3"/>
      <c r="M582" s="3"/>
      <c r="N582" s="3"/>
      <c r="O582" s="3"/>
      <c r="P582" s="3"/>
      <c r="Q582" s="3"/>
      <c r="R582" s="3"/>
      <c r="S582" s="3"/>
      <c r="T582" s="3"/>
      <c r="U582" s="3"/>
      <c r="V582" s="3"/>
      <c r="W582" s="3"/>
      <c r="X582" s="3"/>
      <c r="Y582" s="3"/>
      <c r="Z582" s="3"/>
    </row>
    <row r="583" ht="15.75" customHeight="1">
      <c r="A583" s="3"/>
      <c r="B583" s="3"/>
      <c r="C583" s="7"/>
      <c r="D583" s="3"/>
      <c r="E583" s="3"/>
      <c r="F583" s="7"/>
      <c r="G583" s="4"/>
      <c r="H583" s="3"/>
      <c r="I583" s="3"/>
      <c r="J583" s="3"/>
      <c r="K583" s="3"/>
      <c r="L583" s="3"/>
      <c r="M583" s="3"/>
      <c r="N583" s="3"/>
      <c r="O583" s="3"/>
      <c r="P583" s="3"/>
      <c r="Q583" s="3"/>
      <c r="R583" s="3"/>
      <c r="S583" s="3"/>
      <c r="T583" s="3"/>
      <c r="U583" s="3"/>
      <c r="V583" s="3"/>
      <c r="W583" s="3"/>
      <c r="X583" s="3"/>
      <c r="Y583" s="3"/>
      <c r="Z583" s="3"/>
    </row>
    <row r="584" ht="15.75" customHeight="1">
      <c r="A584" s="3"/>
      <c r="B584" s="3"/>
      <c r="C584" s="7"/>
      <c r="D584" s="3"/>
      <c r="E584" s="3"/>
      <c r="F584" s="7"/>
      <c r="G584" s="4"/>
      <c r="H584" s="3"/>
      <c r="I584" s="3"/>
      <c r="J584" s="3"/>
      <c r="K584" s="3"/>
      <c r="L584" s="3"/>
      <c r="M584" s="3"/>
      <c r="N584" s="3"/>
      <c r="O584" s="3"/>
      <c r="P584" s="3"/>
      <c r="Q584" s="3"/>
      <c r="R584" s="3"/>
      <c r="S584" s="3"/>
      <c r="T584" s="3"/>
      <c r="U584" s="3"/>
      <c r="V584" s="3"/>
      <c r="W584" s="3"/>
      <c r="X584" s="3"/>
      <c r="Y584" s="3"/>
      <c r="Z584" s="3"/>
    </row>
    <row r="585" ht="15.75" customHeight="1">
      <c r="A585" s="3"/>
      <c r="B585" s="3"/>
      <c r="C585" s="7"/>
      <c r="D585" s="3"/>
      <c r="E585" s="3"/>
      <c r="F585" s="7"/>
      <c r="G585" s="4"/>
      <c r="H585" s="3"/>
      <c r="I585" s="3"/>
      <c r="J585" s="3"/>
      <c r="K585" s="3"/>
      <c r="L585" s="3"/>
      <c r="M585" s="3"/>
      <c r="N585" s="3"/>
      <c r="O585" s="3"/>
      <c r="P585" s="3"/>
      <c r="Q585" s="3"/>
      <c r="R585" s="3"/>
      <c r="S585" s="3"/>
      <c r="T585" s="3"/>
      <c r="U585" s="3"/>
      <c r="V585" s="3"/>
      <c r="W585" s="3"/>
      <c r="X585" s="3"/>
      <c r="Y585" s="3"/>
      <c r="Z585" s="3"/>
    </row>
    <row r="586" ht="15.75" customHeight="1">
      <c r="A586" s="3"/>
      <c r="B586" s="3"/>
      <c r="C586" s="7"/>
      <c r="D586" s="3"/>
      <c r="E586" s="3"/>
      <c r="F586" s="7"/>
      <c r="G586" s="4"/>
      <c r="H586" s="3"/>
      <c r="I586" s="3"/>
      <c r="J586" s="3"/>
      <c r="K586" s="3"/>
      <c r="L586" s="3"/>
      <c r="M586" s="3"/>
      <c r="N586" s="3"/>
      <c r="O586" s="3"/>
      <c r="P586" s="3"/>
      <c r="Q586" s="3"/>
      <c r="R586" s="3"/>
      <c r="S586" s="3"/>
      <c r="T586" s="3"/>
      <c r="U586" s="3"/>
      <c r="V586" s="3"/>
      <c r="W586" s="3"/>
      <c r="X586" s="3"/>
      <c r="Y586" s="3"/>
      <c r="Z586" s="3"/>
    </row>
    <row r="587" ht="15.75" customHeight="1">
      <c r="A587" s="3"/>
      <c r="B587" s="3"/>
      <c r="C587" s="7"/>
      <c r="D587" s="3"/>
      <c r="E587" s="3"/>
      <c r="F587" s="7"/>
      <c r="G587" s="4"/>
      <c r="H587" s="3"/>
      <c r="I587" s="3"/>
      <c r="J587" s="3"/>
      <c r="K587" s="3"/>
      <c r="L587" s="3"/>
      <c r="M587" s="3"/>
      <c r="N587" s="3"/>
      <c r="O587" s="3"/>
      <c r="P587" s="3"/>
      <c r="Q587" s="3"/>
      <c r="R587" s="3"/>
      <c r="S587" s="3"/>
      <c r="T587" s="3"/>
      <c r="U587" s="3"/>
      <c r="V587" s="3"/>
      <c r="W587" s="3"/>
      <c r="X587" s="3"/>
      <c r="Y587" s="3"/>
      <c r="Z587" s="3"/>
    </row>
    <row r="588" ht="15.75" customHeight="1">
      <c r="A588" s="3"/>
      <c r="B588" s="3"/>
      <c r="C588" s="7"/>
      <c r="D588" s="3"/>
      <c r="E588" s="3"/>
      <c r="F588" s="7"/>
      <c r="G588" s="4"/>
      <c r="H588" s="3"/>
      <c r="I588" s="3"/>
      <c r="J588" s="3"/>
      <c r="K588" s="3"/>
      <c r="L588" s="3"/>
      <c r="M588" s="3"/>
      <c r="N588" s="3"/>
      <c r="O588" s="3"/>
      <c r="P588" s="3"/>
      <c r="Q588" s="3"/>
      <c r="R588" s="3"/>
      <c r="S588" s="3"/>
      <c r="T588" s="3"/>
      <c r="U588" s="3"/>
      <c r="V588" s="3"/>
      <c r="W588" s="3"/>
      <c r="X588" s="3"/>
      <c r="Y588" s="3"/>
      <c r="Z588" s="3"/>
    </row>
    <row r="589" ht="15.75" customHeight="1">
      <c r="A589" s="3"/>
      <c r="B589" s="3"/>
      <c r="C589" s="7"/>
      <c r="D589" s="3"/>
      <c r="E589" s="3"/>
      <c r="F589" s="7"/>
      <c r="G589" s="4"/>
      <c r="H589" s="3"/>
      <c r="I589" s="3"/>
      <c r="J589" s="3"/>
      <c r="K589" s="3"/>
      <c r="L589" s="3"/>
      <c r="M589" s="3"/>
      <c r="N589" s="3"/>
      <c r="O589" s="3"/>
      <c r="P589" s="3"/>
      <c r="Q589" s="3"/>
      <c r="R589" s="3"/>
      <c r="S589" s="3"/>
      <c r="T589" s="3"/>
      <c r="U589" s="3"/>
      <c r="V589" s="3"/>
      <c r="W589" s="3"/>
      <c r="X589" s="3"/>
      <c r="Y589" s="3"/>
      <c r="Z589" s="3"/>
    </row>
    <row r="590" ht="15.75" customHeight="1">
      <c r="A590" s="3"/>
      <c r="B590" s="3"/>
      <c r="C590" s="7"/>
      <c r="D590" s="3"/>
      <c r="E590" s="3"/>
      <c r="F590" s="7"/>
      <c r="G590" s="4"/>
      <c r="H590" s="3"/>
      <c r="I590" s="3"/>
      <c r="J590" s="3"/>
      <c r="K590" s="3"/>
      <c r="L590" s="3"/>
      <c r="M590" s="3"/>
      <c r="N590" s="3"/>
      <c r="O590" s="3"/>
      <c r="P590" s="3"/>
      <c r="Q590" s="3"/>
      <c r="R590" s="3"/>
      <c r="S590" s="3"/>
      <c r="T590" s="3"/>
      <c r="U590" s="3"/>
      <c r="V590" s="3"/>
      <c r="W590" s="3"/>
      <c r="X590" s="3"/>
      <c r="Y590" s="3"/>
      <c r="Z590" s="3"/>
    </row>
    <row r="591" ht="15.75" customHeight="1">
      <c r="A591" s="3"/>
      <c r="B591" s="3"/>
      <c r="C591" s="7"/>
      <c r="D591" s="3"/>
      <c r="E591" s="3"/>
      <c r="F591" s="7"/>
      <c r="G591" s="4"/>
      <c r="H591" s="3"/>
      <c r="I591" s="3"/>
      <c r="J591" s="3"/>
      <c r="K591" s="3"/>
      <c r="L591" s="3"/>
      <c r="M591" s="3"/>
      <c r="N591" s="3"/>
      <c r="O591" s="3"/>
      <c r="P591" s="3"/>
      <c r="Q591" s="3"/>
      <c r="R591" s="3"/>
      <c r="S591" s="3"/>
      <c r="T591" s="3"/>
      <c r="U591" s="3"/>
      <c r="V591" s="3"/>
      <c r="W591" s="3"/>
      <c r="X591" s="3"/>
      <c r="Y591" s="3"/>
      <c r="Z591" s="3"/>
    </row>
    <row r="592" ht="15.75" customHeight="1">
      <c r="A592" s="3"/>
      <c r="B592" s="3"/>
      <c r="C592" s="7"/>
      <c r="D592" s="3"/>
      <c r="E592" s="3"/>
      <c r="F592" s="7"/>
      <c r="G592" s="4"/>
      <c r="H592" s="3"/>
      <c r="I592" s="3"/>
      <c r="J592" s="3"/>
      <c r="K592" s="3"/>
      <c r="L592" s="3"/>
      <c r="M592" s="3"/>
      <c r="N592" s="3"/>
      <c r="O592" s="3"/>
      <c r="P592" s="3"/>
      <c r="Q592" s="3"/>
      <c r="R592" s="3"/>
      <c r="S592" s="3"/>
      <c r="T592" s="3"/>
      <c r="U592" s="3"/>
      <c r="V592" s="3"/>
      <c r="W592" s="3"/>
      <c r="X592" s="3"/>
      <c r="Y592" s="3"/>
      <c r="Z592" s="3"/>
    </row>
    <row r="593" ht="15.75" customHeight="1">
      <c r="A593" s="3"/>
      <c r="B593" s="3"/>
      <c r="C593" s="7"/>
      <c r="D593" s="3"/>
      <c r="E593" s="3"/>
      <c r="F593" s="7"/>
      <c r="G593" s="4"/>
      <c r="H593" s="3"/>
      <c r="I593" s="3"/>
      <c r="J593" s="3"/>
      <c r="K593" s="3"/>
      <c r="L593" s="3"/>
      <c r="M593" s="3"/>
      <c r="N593" s="3"/>
      <c r="O593" s="3"/>
      <c r="P593" s="3"/>
      <c r="Q593" s="3"/>
      <c r="R593" s="3"/>
      <c r="S593" s="3"/>
      <c r="T593" s="3"/>
      <c r="U593" s="3"/>
      <c r="V593" s="3"/>
      <c r="W593" s="3"/>
      <c r="X593" s="3"/>
      <c r="Y593" s="3"/>
      <c r="Z593" s="3"/>
    </row>
    <row r="594" ht="15.75" customHeight="1">
      <c r="A594" s="3"/>
      <c r="B594" s="3"/>
      <c r="C594" s="7"/>
      <c r="D594" s="3"/>
      <c r="E594" s="3"/>
      <c r="F594" s="7"/>
      <c r="G594" s="4"/>
      <c r="H594" s="3"/>
      <c r="I594" s="3"/>
      <c r="J594" s="3"/>
      <c r="K594" s="3"/>
      <c r="L594" s="3"/>
      <c r="M594" s="3"/>
      <c r="N594" s="3"/>
      <c r="O594" s="3"/>
      <c r="P594" s="3"/>
      <c r="Q594" s="3"/>
      <c r="R594" s="3"/>
      <c r="S594" s="3"/>
      <c r="T594" s="3"/>
      <c r="U594" s="3"/>
      <c r="V594" s="3"/>
      <c r="W594" s="3"/>
      <c r="X594" s="3"/>
      <c r="Y594" s="3"/>
      <c r="Z594" s="3"/>
    </row>
    <row r="595" ht="15.75" customHeight="1">
      <c r="A595" s="3"/>
      <c r="B595" s="3"/>
      <c r="C595" s="7"/>
      <c r="D595" s="3"/>
      <c r="E595" s="3"/>
      <c r="F595" s="7"/>
      <c r="G595" s="4"/>
      <c r="H595" s="3"/>
      <c r="I595" s="3"/>
      <c r="J595" s="3"/>
      <c r="K595" s="3"/>
      <c r="L595" s="3"/>
      <c r="M595" s="3"/>
      <c r="N595" s="3"/>
      <c r="O595" s="3"/>
      <c r="P595" s="3"/>
      <c r="Q595" s="3"/>
      <c r="R595" s="3"/>
      <c r="S595" s="3"/>
      <c r="T595" s="3"/>
      <c r="U595" s="3"/>
      <c r="V595" s="3"/>
      <c r="W595" s="3"/>
      <c r="X595" s="3"/>
      <c r="Y595" s="3"/>
      <c r="Z595" s="3"/>
    </row>
    <row r="596" ht="15.75" customHeight="1">
      <c r="A596" s="3"/>
      <c r="B596" s="3"/>
      <c r="C596" s="7"/>
      <c r="D596" s="3"/>
      <c r="E596" s="3"/>
      <c r="F596" s="7"/>
      <c r="G596" s="4"/>
      <c r="H596" s="3"/>
      <c r="I596" s="3"/>
      <c r="J596" s="3"/>
      <c r="K596" s="3"/>
      <c r="L596" s="3"/>
      <c r="M596" s="3"/>
      <c r="N596" s="3"/>
      <c r="O596" s="3"/>
      <c r="P596" s="3"/>
      <c r="Q596" s="3"/>
      <c r="R596" s="3"/>
      <c r="S596" s="3"/>
      <c r="T596" s="3"/>
      <c r="U596" s="3"/>
      <c r="V596" s="3"/>
      <c r="W596" s="3"/>
      <c r="X596" s="3"/>
      <c r="Y596" s="3"/>
      <c r="Z596" s="3"/>
    </row>
    <row r="597" ht="15.75" customHeight="1">
      <c r="A597" s="3"/>
      <c r="B597" s="3"/>
      <c r="C597" s="7"/>
      <c r="D597" s="3"/>
      <c r="E597" s="3"/>
      <c r="F597" s="7"/>
      <c r="G597" s="4"/>
      <c r="H597" s="3"/>
      <c r="I597" s="3"/>
      <c r="J597" s="3"/>
      <c r="K597" s="3"/>
      <c r="L597" s="3"/>
      <c r="M597" s="3"/>
      <c r="N597" s="3"/>
      <c r="O597" s="3"/>
      <c r="P597" s="3"/>
      <c r="Q597" s="3"/>
      <c r="R597" s="3"/>
      <c r="S597" s="3"/>
      <c r="T597" s="3"/>
      <c r="U597" s="3"/>
      <c r="V597" s="3"/>
      <c r="W597" s="3"/>
      <c r="X597" s="3"/>
      <c r="Y597" s="3"/>
      <c r="Z597" s="3"/>
    </row>
    <row r="598" ht="15.75" customHeight="1">
      <c r="A598" s="3"/>
      <c r="B598" s="3"/>
      <c r="C598" s="7"/>
      <c r="D598" s="3"/>
      <c r="E598" s="3"/>
      <c r="F598" s="7"/>
      <c r="G598" s="4"/>
      <c r="H598" s="3"/>
      <c r="I598" s="3"/>
      <c r="J598" s="3"/>
      <c r="K598" s="3"/>
      <c r="L598" s="3"/>
      <c r="M598" s="3"/>
      <c r="N598" s="3"/>
      <c r="O598" s="3"/>
      <c r="P598" s="3"/>
      <c r="Q598" s="3"/>
      <c r="R598" s="3"/>
      <c r="S598" s="3"/>
      <c r="T598" s="3"/>
      <c r="U598" s="3"/>
      <c r="V598" s="3"/>
      <c r="W598" s="3"/>
      <c r="X598" s="3"/>
      <c r="Y598" s="3"/>
      <c r="Z598" s="3"/>
    </row>
    <row r="599" ht="15.75" customHeight="1">
      <c r="A599" s="3"/>
      <c r="B599" s="3"/>
      <c r="C599" s="7"/>
      <c r="D599" s="3"/>
      <c r="E599" s="3"/>
      <c r="F599" s="7"/>
      <c r="G599" s="4"/>
      <c r="H599" s="3"/>
      <c r="I599" s="3"/>
      <c r="J599" s="3"/>
      <c r="K599" s="3"/>
      <c r="L599" s="3"/>
      <c r="M599" s="3"/>
      <c r="N599" s="3"/>
      <c r="O599" s="3"/>
      <c r="P599" s="3"/>
      <c r="Q599" s="3"/>
      <c r="R599" s="3"/>
      <c r="S599" s="3"/>
      <c r="T599" s="3"/>
      <c r="U599" s="3"/>
      <c r="V599" s="3"/>
      <c r="W599" s="3"/>
      <c r="X599" s="3"/>
      <c r="Y599" s="3"/>
      <c r="Z599" s="3"/>
    </row>
    <row r="600" ht="15.75" customHeight="1">
      <c r="A600" s="3"/>
      <c r="B600" s="3"/>
      <c r="C600" s="7"/>
      <c r="D600" s="3"/>
      <c r="E600" s="3"/>
      <c r="F600" s="7"/>
      <c r="G600" s="4"/>
      <c r="H600" s="3"/>
      <c r="I600" s="3"/>
      <c r="J600" s="3"/>
      <c r="K600" s="3"/>
      <c r="L600" s="3"/>
      <c r="M600" s="3"/>
      <c r="N600" s="3"/>
      <c r="O600" s="3"/>
      <c r="P600" s="3"/>
      <c r="Q600" s="3"/>
      <c r="R600" s="3"/>
      <c r="S600" s="3"/>
      <c r="T600" s="3"/>
      <c r="U600" s="3"/>
      <c r="V600" s="3"/>
      <c r="W600" s="3"/>
      <c r="X600" s="3"/>
      <c r="Y600" s="3"/>
      <c r="Z600" s="3"/>
    </row>
    <row r="601" ht="15.75" customHeight="1">
      <c r="A601" s="3"/>
      <c r="B601" s="3"/>
      <c r="C601" s="7"/>
      <c r="D601" s="3"/>
      <c r="E601" s="3"/>
      <c r="F601" s="7"/>
      <c r="G601" s="4"/>
      <c r="H601" s="3"/>
      <c r="I601" s="3"/>
      <c r="J601" s="3"/>
      <c r="K601" s="3"/>
      <c r="L601" s="3"/>
      <c r="M601" s="3"/>
      <c r="N601" s="3"/>
      <c r="O601" s="3"/>
      <c r="P601" s="3"/>
      <c r="Q601" s="3"/>
      <c r="R601" s="3"/>
      <c r="S601" s="3"/>
      <c r="T601" s="3"/>
      <c r="U601" s="3"/>
      <c r="V601" s="3"/>
      <c r="W601" s="3"/>
      <c r="X601" s="3"/>
      <c r="Y601" s="3"/>
      <c r="Z601" s="3"/>
    </row>
    <row r="602" ht="15.75" customHeight="1">
      <c r="A602" s="3"/>
      <c r="B602" s="3"/>
      <c r="C602" s="7"/>
      <c r="D602" s="3"/>
      <c r="E602" s="3"/>
      <c r="F602" s="7"/>
      <c r="G602" s="4"/>
      <c r="H602" s="3"/>
      <c r="I602" s="3"/>
      <c r="J602" s="3"/>
      <c r="K602" s="3"/>
      <c r="L602" s="3"/>
      <c r="M602" s="3"/>
      <c r="N602" s="3"/>
      <c r="O602" s="3"/>
      <c r="P602" s="3"/>
      <c r="Q602" s="3"/>
      <c r="R602" s="3"/>
      <c r="S602" s="3"/>
      <c r="T602" s="3"/>
      <c r="U602" s="3"/>
      <c r="V602" s="3"/>
      <c r="W602" s="3"/>
      <c r="X602" s="3"/>
      <c r="Y602" s="3"/>
      <c r="Z602" s="3"/>
    </row>
    <row r="603" ht="15.75" customHeight="1">
      <c r="A603" s="3"/>
      <c r="B603" s="3"/>
      <c r="C603" s="7"/>
      <c r="D603" s="3"/>
      <c r="E603" s="3"/>
      <c r="F603" s="7"/>
      <c r="G603" s="4"/>
      <c r="H603" s="3"/>
      <c r="I603" s="3"/>
      <c r="J603" s="3"/>
      <c r="K603" s="3"/>
      <c r="L603" s="3"/>
      <c r="M603" s="3"/>
      <c r="N603" s="3"/>
      <c r="O603" s="3"/>
      <c r="P603" s="3"/>
      <c r="Q603" s="3"/>
      <c r="R603" s="3"/>
      <c r="S603" s="3"/>
      <c r="T603" s="3"/>
      <c r="U603" s="3"/>
      <c r="V603" s="3"/>
      <c r="W603" s="3"/>
      <c r="X603" s="3"/>
      <c r="Y603" s="3"/>
      <c r="Z603" s="3"/>
    </row>
    <row r="604" ht="15.75" customHeight="1">
      <c r="A604" s="3"/>
      <c r="B604" s="3"/>
      <c r="C604" s="7"/>
      <c r="D604" s="3"/>
      <c r="E604" s="3"/>
      <c r="F604" s="7"/>
      <c r="G604" s="4"/>
      <c r="H604" s="3"/>
      <c r="I604" s="3"/>
      <c r="J604" s="3"/>
      <c r="K604" s="3"/>
      <c r="L604" s="3"/>
      <c r="M604" s="3"/>
      <c r="N604" s="3"/>
      <c r="O604" s="3"/>
      <c r="P604" s="3"/>
      <c r="Q604" s="3"/>
      <c r="R604" s="3"/>
      <c r="S604" s="3"/>
      <c r="T604" s="3"/>
      <c r="U604" s="3"/>
      <c r="V604" s="3"/>
      <c r="W604" s="3"/>
      <c r="X604" s="3"/>
      <c r="Y604" s="3"/>
      <c r="Z604" s="3"/>
    </row>
    <row r="605" ht="15.75" customHeight="1">
      <c r="A605" s="3"/>
      <c r="B605" s="3"/>
      <c r="C605" s="7"/>
      <c r="D605" s="3"/>
      <c r="E605" s="3"/>
      <c r="F605" s="7"/>
      <c r="G605" s="4"/>
      <c r="H605" s="3"/>
      <c r="I605" s="3"/>
      <c r="J605" s="3"/>
      <c r="K605" s="3"/>
      <c r="L605" s="3"/>
      <c r="M605" s="3"/>
      <c r="N605" s="3"/>
      <c r="O605" s="3"/>
      <c r="P605" s="3"/>
      <c r="Q605" s="3"/>
      <c r="R605" s="3"/>
      <c r="S605" s="3"/>
      <c r="T605" s="3"/>
      <c r="U605" s="3"/>
      <c r="V605" s="3"/>
      <c r="W605" s="3"/>
      <c r="X605" s="3"/>
      <c r="Y605" s="3"/>
      <c r="Z605" s="3"/>
    </row>
    <row r="606" ht="15.75" customHeight="1">
      <c r="A606" s="3"/>
      <c r="B606" s="3"/>
      <c r="C606" s="7"/>
      <c r="D606" s="3"/>
      <c r="E606" s="3"/>
      <c r="F606" s="7"/>
      <c r="G606" s="4"/>
      <c r="H606" s="3"/>
      <c r="I606" s="3"/>
      <c r="J606" s="3"/>
      <c r="K606" s="3"/>
      <c r="L606" s="3"/>
      <c r="M606" s="3"/>
      <c r="N606" s="3"/>
      <c r="O606" s="3"/>
      <c r="P606" s="3"/>
      <c r="Q606" s="3"/>
      <c r="R606" s="3"/>
      <c r="S606" s="3"/>
      <c r="T606" s="3"/>
      <c r="U606" s="3"/>
      <c r="V606" s="3"/>
      <c r="W606" s="3"/>
      <c r="X606" s="3"/>
      <c r="Y606" s="3"/>
      <c r="Z606" s="3"/>
    </row>
    <row r="607" ht="15.75" customHeight="1">
      <c r="A607" s="3"/>
      <c r="B607" s="3"/>
      <c r="C607" s="7"/>
      <c r="D607" s="3"/>
      <c r="E607" s="3"/>
      <c r="F607" s="7"/>
      <c r="G607" s="4"/>
      <c r="H607" s="3"/>
      <c r="I607" s="3"/>
      <c r="J607" s="3"/>
      <c r="K607" s="3"/>
      <c r="L607" s="3"/>
      <c r="M607" s="3"/>
      <c r="N607" s="3"/>
      <c r="O607" s="3"/>
      <c r="P607" s="3"/>
      <c r="Q607" s="3"/>
      <c r="R607" s="3"/>
      <c r="S607" s="3"/>
      <c r="T607" s="3"/>
      <c r="U607" s="3"/>
      <c r="V607" s="3"/>
      <c r="W607" s="3"/>
      <c r="X607" s="3"/>
      <c r="Y607" s="3"/>
      <c r="Z607" s="3"/>
    </row>
    <row r="608" ht="15.75" customHeight="1">
      <c r="A608" s="3"/>
      <c r="B608" s="3"/>
      <c r="C608" s="7"/>
      <c r="D608" s="3"/>
      <c r="E608" s="3"/>
      <c r="F608" s="7"/>
      <c r="G608" s="4"/>
      <c r="H608" s="3"/>
      <c r="I608" s="3"/>
      <c r="J608" s="3"/>
      <c r="K608" s="3"/>
      <c r="L608" s="3"/>
      <c r="M608" s="3"/>
      <c r="N608" s="3"/>
      <c r="O608" s="3"/>
      <c r="P608" s="3"/>
      <c r="Q608" s="3"/>
      <c r="R608" s="3"/>
      <c r="S608" s="3"/>
      <c r="T608" s="3"/>
      <c r="U608" s="3"/>
      <c r="V608" s="3"/>
      <c r="W608" s="3"/>
      <c r="X608" s="3"/>
      <c r="Y608" s="3"/>
      <c r="Z608" s="3"/>
    </row>
    <row r="609" ht="15.75" customHeight="1">
      <c r="A609" s="3"/>
      <c r="B609" s="3"/>
      <c r="C609" s="7"/>
      <c r="D609" s="3"/>
      <c r="E609" s="3"/>
      <c r="F609" s="7"/>
      <c r="G609" s="4"/>
      <c r="H609" s="3"/>
      <c r="I609" s="3"/>
      <c r="J609" s="3"/>
      <c r="K609" s="3"/>
      <c r="L609" s="3"/>
      <c r="M609" s="3"/>
      <c r="N609" s="3"/>
      <c r="O609" s="3"/>
      <c r="P609" s="3"/>
      <c r="Q609" s="3"/>
      <c r="R609" s="3"/>
      <c r="S609" s="3"/>
      <c r="T609" s="3"/>
      <c r="U609" s="3"/>
      <c r="V609" s="3"/>
      <c r="W609" s="3"/>
      <c r="X609" s="3"/>
      <c r="Y609" s="3"/>
      <c r="Z609" s="3"/>
    </row>
    <row r="610" ht="15.75" customHeight="1">
      <c r="A610" s="3"/>
      <c r="B610" s="3"/>
      <c r="C610" s="7"/>
      <c r="D610" s="3"/>
      <c r="E610" s="3"/>
      <c r="F610" s="7"/>
      <c r="G610" s="4"/>
      <c r="H610" s="3"/>
      <c r="I610" s="3"/>
      <c r="J610" s="3"/>
      <c r="K610" s="3"/>
      <c r="L610" s="3"/>
      <c r="M610" s="3"/>
      <c r="N610" s="3"/>
      <c r="O610" s="3"/>
      <c r="P610" s="3"/>
      <c r="Q610" s="3"/>
      <c r="R610" s="3"/>
      <c r="S610" s="3"/>
      <c r="T610" s="3"/>
      <c r="U610" s="3"/>
      <c r="V610" s="3"/>
      <c r="W610" s="3"/>
      <c r="X610" s="3"/>
      <c r="Y610" s="3"/>
      <c r="Z610" s="3"/>
    </row>
    <row r="611" ht="15.75" customHeight="1">
      <c r="A611" s="3"/>
      <c r="B611" s="3"/>
      <c r="C611" s="7"/>
      <c r="D611" s="3"/>
      <c r="E611" s="3"/>
      <c r="F611" s="7"/>
      <c r="G611" s="4"/>
      <c r="H611" s="3"/>
      <c r="I611" s="3"/>
      <c r="J611" s="3"/>
      <c r="K611" s="3"/>
      <c r="L611" s="3"/>
      <c r="M611" s="3"/>
      <c r="N611" s="3"/>
      <c r="O611" s="3"/>
      <c r="P611" s="3"/>
      <c r="Q611" s="3"/>
      <c r="R611" s="3"/>
      <c r="S611" s="3"/>
      <c r="T611" s="3"/>
      <c r="U611" s="3"/>
      <c r="V611" s="3"/>
      <c r="W611" s="3"/>
      <c r="X611" s="3"/>
      <c r="Y611" s="3"/>
      <c r="Z611" s="3"/>
    </row>
    <row r="612" ht="15.75" customHeight="1">
      <c r="A612" s="3"/>
      <c r="B612" s="3"/>
      <c r="C612" s="7"/>
      <c r="D612" s="3"/>
      <c r="E612" s="3"/>
      <c r="F612" s="7"/>
      <c r="G612" s="4"/>
      <c r="H612" s="3"/>
      <c r="I612" s="3"/>
      <c r="J612" s="3"/>
      <c r="K612" s="3"/>
      <c r="L612" s="3"/>
      <c r="M612" s="3"/>
      <c r="N612" s="3"/>
      <c r="O612" s="3"/>
      <c r="P612" s="3"/>
      <c r="Q612" s="3"/>
      <c r="R612" s="3"/>
      <c r="S612" s="3"/>
      <c r="T612" s="3"/>
      <c r="U612" s="3"/>
      <c r="V612" s="3"/>
      <c r="W612" s="3"/>
      <c r="X612" s="3"/>
      <c r="Y612" s="3"/>
      <c r="Z612" s="3"/>
    </row>
    <row r="613" ht="15.75" customHeight="1">
      <c r="A613" s="3"/>
      <c r="B613" s="3"/>
      <c r="C613" s="7"/>
      <c r="D613" s="3"/>
      <c r="E613" s="3"/>
      <c r="F613" s="7"/>
      <c r="G613" s="4"/>
      <c r="H613" s="3"/>
      <c r="I613" s="3"/>
      <c r="J613" s="3"/>
      <c r="K613" s="3"/>
      <c r="L613" s="3"/>
      <c r="M613" s="3"/>
      <c r="N613" s="3"/>
      <c r="O613" s="3"/>
      <c r="P613" s="3"/>
      <c r="Q613" s="3"/>
      <c r="R613" s="3"/>
      <c r="S613" s="3"/>
      <c r="T613" s="3"/>
      <c r="U613" s="3"/>
      <c r="V613" s="3"/>
      <c r="W613" s="3"/>
      <c r="X613" s="3"/>
      <c r="Y613" s="3"/>
      <c r="Z613" s="3"/>
    </row>
    <row r="614" ht="15.75" customHeight="1">
      <c r="A614" s="3"/>
      <c r="B614" s="3"/>
      <c r="C614" s="7"/>
      <c r="D614" s="3"/>
      <c r="E614" s="3"/>
      <c r="F614" s="7"/>
      <c r="G614" s="4"/>
      <c r="H614" s="3"/>
      <c r="I614" s="3"/>
      <c r="J614" s="3"/>
      <c r="K614" s="3"/>
      <c r="L614" s="3"/>
      <c r="M614" s="3"/>
      <c r="N614" s="3"/>
      <c r="O614" s="3"/>
      <c r="P614" s="3"/>
      <c r="Q614" s="3"/>
      <c r="R614" s="3"/>
      <c r="S614" s="3"/>
      <c r="T614" s="3"/>
      <c r="U614" s="3"/>
      <c r="V614" s="3"/>
      <c r="W614" s="3"/>
      <c r="X614" s="3"/>
      <c r="Y614" s="3"/>
      <c r="Z614" s="3"/>
    </row>
    <row r="615" ht="15.75" customHeight="1">
      <c r="A615" s="3"/>
      <c r="B615" s="3"/>
      <c r="C615" s="7"/>
      <c r="D615" s="3"/>
      <c r="E615" s="3"/>
      <c r="F615" s="7"/>
      <c r="G615" s="4"/>
      <c r="H615" s="3"/>
      <c r="I615" s="3"/>
      <c r="J615" s="3"/>
      <c r="K615" s="3"/>
      <c r="L615" s="3"/>
      <c r="M615" s="3"/>
      <c r="N615" s="3"/>
      <c r="O615" s="3"/>
      <c r="P615" s="3"/>
      <c r="Q615" s="3"/>
      <c r="R615" s="3"/>
      <c r="S615" s="3"/>
      <c r="T615" s="3"/>
      <c r="U615" s="3"/>
      <c r="V615" s="3"/>
      <c r="W615" s="3"/>
      <c r="X615" s="3"/>
      <c r="Y615" s="3"/>
      <c r="Z615" s="3"/>
    </row>
    <row r="616" ht="15.75" customHeight="1">
      <c r="A616" s="3"/>
      <c r="B616" s="3"/>
      <c r="C616" s="7"/>
      <c r="D616" s="3"/>
      <c r="E616" s="3"/>
      <c r="F616" s="7"/>
      <c r="G616" s="4"/>
      <c r="H616" s="3"/>
      <c r="I616" s="3"/>
      <c r="J616" s="3"/>
      <c r="K616" s="3"/>
      <c r="L616" s="3"/>
      <c r="M616" s="3"/>
      <c r="N616" s="3"/>
      <c r="O616" s="3"/>
      <c r="P616" s="3"/>
      <c r="Q616" s="3"/>
      <c r="R616" s="3"/>
      <c r="S616" s="3"/>
      <c r="T616" s="3"/>
      <c r="U616" s="3"/>
      <c r="V616" s="3"/>
      <c r="W616" s="3"/>
      <c r="X616" s="3"/>
      <c r="Y616" s="3"/>
      <c r="Z616" s="3"/>
    </row>
    <row r="617" ht="15.75" customHeight="1">
      <c r="A617" s="3"/>
      <c r="B617" s="3"/>
      <c r="C617" s="7"/>
      <c r="D617" s="3"/>
      <c r="E617" s="3"/>
      <c r="F617" s="7"/>
      <c r="G617" s="4"/>
      <c r="H617" s="3"/>
      <c r="I617" s="3"/>
      <c r="J617" s="3"/>
      <c r="K617" s="3"/>
      <c r="L617" s="3"/>
      <c r="M617" s="3"/>
      <c r="N617" s="3"/>
      <c r="O617" s="3"/>
      <c r="P617" s="3"/>
      <c r="Q617" s="3"/>
      <c r="R617" s="3"/>
      <c r="S617" s="3"/>
      <c r="T617" s="3"/>
      <c r="U617" s="3"/>
      <c r="V617" s="3"/>
      <c r="W617" s="3"/>
      <c r="X617" s="3"/>
      <c r="Y617" s="3"/>
      <c r="Z617" s="3"/>
    </row>
    <row r="618" ht="15.75" customHeight="1">
      <c r="A618" s="3"/>
      <c r="B618" s="3"/>
      <c r="C618" s="7"/>
      <c r="D618" s="3"/>
      <c r="E618" s="3"/>
      <c r="F618" s="7"/>
      <c r="G618" s="4"/>
      <c r="H618" s="3"/>
      <c r="I618" s="3"/>
      <c r="J618" s="3"/>
      <c r="K618" s="3"/>
      <c r="L618" s="3"/>
      <c r="M618" s="3"/>
      <c r="N618" s="3"/>
      <c r="O618" s="3"/>
      <c r="P618" s="3"/>
      <c r="Q618" s="3"/>
      <c r="R618" s="3"/>
      <c r="S618" s="3"/>
      <c r="T618" s="3"/>
      <c r="U618" s="3"/>
      <c r="V618" s="3"/>
      <c r="W618" s="3"/>
      <c r="X618" s="3"/>
      <c r="Y618" s="3"/>
      <c r="Z618" s="3"/>
    </row>
    <row r="619" ht="15.75" customHeight="1">
      <c r="A619" s="3"/>
      <c r="B619" s="3"/>
      <c r="C619" s="7"/>
      <c r="D619" s="3"/>
      <c r="E619" s="3"/>
      <c r="F619" s="7"/>
      <c r="G619" s="4"/>
      <c r="H619" s="3"/>
      <c r="I619" s="3"/>
      <c r="J619" s="3"/>
      <c r="K619" s="3"/>
      <c r="L619" s="3"/>
      <c r="M619" s="3"/>
      <c r="N619" s="3"/>
      <c r="O619" s="3"/>
      <c r="P619" s="3"/>
      <c r="Q619" s="3"/>
      <c r="R619" s="3"/>
      <c r="S619" s="3"/>
      <c r="T619" s="3"/>
      <c r="U619" s="3"/>
      <c r="V619" s="3"/>
      <c r="W619" s="3"/>
      <c r="X619" s="3"/>
      <c r="Y619" s="3"/>
      <c r="Z619" s="3"/>
    </row>
    <row r="620" ht="15.75" customHeight="1">
      <c r="A620" s="3"/>
      <c r="B620" s="3"/>
      <c r="C620" s="7"/>
      <c r="D620" s="3"/>
      <c r="E620" s="3"/>
      <c r="F620" s="7"/>
      <c r="G620" s="4"/>
      <c r="H620" s="3"/>
      <c r="I620" s="3"/>
      <c r="J620" s="3"/>
      <c r="K620" s="3"/>
      <c r="L620" s="3"/>
      <c r="M620" s="3"/>
      <c r="N620" s="3"/>
      <c r="O620" s="3"/>
      <c r="P620" s="3"/>
      <c r="Q620" s="3"/>
      <c r="R620" s="3"/>
      <c r="S620" s="3"/>
      <c r="T620" s="3"/>
      <c r="U620" s="3"/>
      <c r="V620" s="3"/>
      <c r="W620" s="3"/>
      <c r="X620" s="3"/>
      <c r="Y620" s="3"/>
      <c r="Z620" s="3"/>
    </row>
    <row r="621" ht="15.75" customHeight="1">
      <c r="A621" s="3"/>
      <c r="B621" s="3"/>
      <c r="C621" s="7"/>
      <c r="D621" s="3"/>
      <c r="E621" s="3"/>
      <c r="F621" s="7"/>
      <c r="G621" s="4"/>
      <c r="H621" s="3"/>
      <c r="I621" s="3"/>
      <c r="J621" s="3"/>
      <c r="K621" s="3"/>
      <c r="L621" s="3"/>
      <c r="M621" s="3"/>
      <c r="N621" s="3"/>
      <c r="O621" s="3"/>
      <c r="P621" s="3"/>
      <c r="Q621" s="3"/>
      <c r="R621" s="3"/>
      <c r="S621" s="3"/>
      <c r="T621" s="3"/>
      <c r="U621" s="3"/>
      <c r="V621" s="3"/>
      <c r="W621" s="3"/>
      <c r="X621" s="3"/>
      <c r="Y621" s="3"/>
      <c r="Z621" s="3"/>
    </row>
    <row r="622" ht="15.75" customHeight="1">
      <c r="A622" s="3"/>
      <c r="B622" s="3"/>
      <c r="C622" s="7"/>
      <c r="D622" s="3"/>
      <c r="E622" s="3"/>
      <c r="F622" s="7"/>
      <c r="G622" s="4"/>
      <c r="H622" s="3"/>
      <c r="I622" s="3"/>
      <c r="J622" s="3"/>
      <c r="K622" s="3"/>
      <c r="L622" s="3"/>
      <c r="M622" s="3"/>
      <c r="N622" s="3"/>
      <c r="O622" s="3"/>
      <c r="P622" s="3"/>
      <c r="Q622" s="3"/>
      <c r="R622" s="3"/>
      <c r="S622" s="3"/>
      <c r="T622" s="3"/>
      <c r="U622" s="3"/>
      <c r="V622" s="3"/>
      <c r="W622" s="3"/>
      <c r="X622" s="3"/>
      <c r="Y622" s="3"/>
      <c r="Z622" s="3"/>
    </row>
    <row r="623" ht="15.75" customHeight="1">
      <c r="A623" s="3"/>
      <c r="B623" s="3"/>
      <c r="C623" s="7"/>
      <c r="D623" s="3"/>
      <c r="E623" s="3"/>
      <c r="F623" s="7"/>
      <c r="G623" s="4"/>
      <c r="H623" s="3"/>
      <c r="I623" s="3"/>
      <c r="J623" s="3"/>
      <c r="K623" s="3"/>
      <c r="L623" s="3"/>
      <c r="M623" s="3"/>
      <c r="N623" s="3"/>
      <c r="O623" s="3"/>
      <c r="P623" s="3"/>
      <c r="Q623" s="3"/>
      <c r="R623" s="3"/>
      <c r="S623" s="3"/>
      <c r="T623" s="3"/>
      <c r="U623" s="3"/>
      <c r="V623" s="3"/>
      <c r="W623" s="3"/>
      <c r="X623" s="3"/>
      <c r="Y623" s="3"/>
      <c r="Z623" s="3"/>
    </row>
    <row r="624" ht="15.75" customHeight="1">
      <c r="A624" s="3"/>
      <c r="B624" s="3"/>
      <c r="C624" s="7"/>
      <c r="D624" s="3"/>
      <c r="E624" s="3"/>
      <c r="F624" s="7"/>
      <c r="G624" s="4"/>
      <c r="H624" s="3"/>
      <c r="I624" s="3"/>
      <c r="J624" s="3"/>
      <c r="K624" s="3"/>
      <c r="L624" s="3"/>
      <c r="M624" s="3"/>
      <c r="N624" s="3"/>
      <c r="O624" s="3"/>
      <c r="P624" s="3"/>
      <c r="Q624" s="3"/>
      <c r="R624" s="3"/>
      <c r="S624" s="3"/>
      <c r="T624" s="3"/>
      <c r="U624" s="3"/>
      <c r="V624" s="3"/>
      <c r="W624" s="3"/>
      <c r="X624" s="3"/>
      <c r="Y624" s="3"/>
      <c r="Z624" s="3"/>
    </row>
    <row r="625" ht="15.75" customHeight="1">
      <c r="A625" s="3"/>
      <c r="B625" s="3"/>
      <c r="C625" s="7"/>
      <c r="D625" s="3"/>
      <c r="E625" s="3"/>
      <c r="F625" s="7"/>
      <c r="G625" s="4"/>
      <c r="H625" s="3"/>
      <c r="I625" s="3"/>
      <c r="J625" s="3"/>
      <c r="K625" s="3"/>
      <c r="L625" s="3"/>
      <c r="M625" s="3"/>
      <c r="N625" s="3"/>
      <c r="O625" s="3"/>
      <c r="P625" s="3"/>
      <c r="Q625" s="3"/>
      <c r="R625" s="3"/>
      <c r="S625" s="3"/>
      <c r="T625" s="3"/>
      <c r="U625" s="3"/>
      <c r="V625" s="3"/>
      <c r="W625" s="3"/>
      <c r="X625" s="3"/>
      <c r="Y625" s="3"/>
      <c r="Z625" s="3"/>
    </row>
    <row r="626" ht="15.75" customHeight="1">
      <c r="A626" s="3"/>
      <c r="B626" s="3"/>
      <c r="C626" s="7"/>
      <c r="D626" s="3"/>
      <c r="E626" s="3"/>
      <c r="F626" s="7"/>
      <c r="G626" s="4"/>
      <c r="H626" s="3"/>
      <c r="I626" s="3"/>
      <c r="J626" s="3"/>
      <c r="K626" s="3"/>
      <c r="L626" s="3"/>
      <c r="M626" s="3"/>
      <c r="N626" s="3"/>
      <c r="O626" s="3"/>
      <c r="P626" s="3"/>
      <c r="Q626" s="3"/>
      <c r="R626" s="3"/>
      <c r="S626" s="3"/>
      <c r="T626" s="3"/>
      <c r="U626" s="3"/>
      <c r="V626" s="3"/>
      <c r="W626" s="3"/>
      <c r="X626" s="3"/>
      <c r="Y626" s="3"/>
      <c r="Z626" s="3"/>
    </row>
    <row r="627" ht="15.75" customHeight="1">
      <c r="A627" s="3"/>
      <c r="B627" s="3"/>
      <c r="C627" s="7"/>
      <c r="D627" s="3"/>
      <c r="E627" s="3"/>
      <c r="F627" s="7"/>
      <c r="G627" s="4"/>
      <c r="H627" s="3"/>
      <c r="I627" s="3"/>
      <c r="J627" s="3"/>
      <c r="K627" s="3"/>
      <c r="L627" s="3"/>
      <c r="M627" s="3"/>
      <c r="N627" s="3"/>
      <c r="O627" s="3"/>
      <c r="P627" s="3"/>
      <c r="Q627" s="3"/>
      <c r="R627" s="3"/>
      <c r="S627" s="3"/>
      <c r="T627" s="3"/>
      <c r="U627" s="3"/>
      <c r="V627" s="3"/>
      <c r="W627" s="3"/>
      <c r="X627" s="3"/>
      <c r="Y627" s="3"/>
      <c r="Z627" s="3"/>
    </row>
    <row r="628" ht="15.75" customHeight="1">
      <c r="A628" s="3"/>
      <c r="B628" s="3"/>
      <c r="C628" s="7"/>
      <c r="D628" s="3"/>
      <c r="E628" s="3"/>
      <c r="F628" s="7"/>
      <c r="G628" s="4"/>
      <c r="H628" s="3"/>
      <c r="I628" s="3"/>
      <c r="J628" s="3"/>
      <c r="K628" s="3"/>
      <c r="L628" s="3"/>
      <c r="M628" s="3"/>
      <c r="N628" s="3"/>
      <c r="O628" s="3"/>
      <c r="P628" s="3"/>
      <c r="Q628" s="3"/>
      <c r="R628" s="3"/>
      <c r="S628" s="3"/>
      <c r="T628" s="3"/>
      <c r="U628" s="3"/>
      <c r="V628" s="3"/>
      <c r="W628" s="3"/>
      <c r="X628" s="3"/>
      <c r="Y628" s="3"/>
      <c r="Z628" s="3"/>
    </row>
    <row r="629" ht="15.75" customHeight="1">
      <c r="A629" s="3"/>
      <c r="B629" s="3"/>
      <c r="C629" s="7"/>
      <c r="D629" s="3"/>
      <c r="E629" s="3"/>
      <c r="F629" s="7"/>
      <c r="G629" s="4"/>
      <c r="H629" s="3"/>
      <c r="I629" s="3"/>
      <c r="J629" s="3"/>
      <c r="K629" s="3"/>
      <c r="L629" s="3"/>
      <c r="M629" s="3"/>
      <c r="N629" s="3"/>
      <c r="O629" s="3"/>
      <c r="P629" s="3"/>
      <c r="Q629" s="3"/>
      <c r="R629" s="3"/>
      <c r="S629" s="3"/>
      <c r="T629" s="3"/>
      <c r="U629" s="3"/>
      <c r="V629" s="3"/>
      <c r="W629" s="3"/>
      <c r="X629" s="3"/>
      <c r="Y629" s="3"/>
      <c r="Z629" s="3"/>
    </row>
    <row r="630" ht="15.75" customHeight="1">
      <c r="A630" s="3"/>
      <c r="B630" s="3"/>
      <c r="C630" s="7"/>
      <c r="D630" s="3"/>
      <c r="E630" s="3"/>
      <c r="F630" s="7"/>
      <c r="G630" s="4"/>
      <c r="H630" s="3"/>
      <c r="I630" s="3"/>
      <c r="J630" s="3"/>
      <c r="K630" s="3"/>
      <c r="L630" s="3"/>
      <c r="M630" s="3"/>
      <c r="N630" s="3"/>
      <c r="O630" s="3"/>
      <c r="P630" s="3"/>
      <c r="Q630" s="3"/>
      <c r="R630" s="3"/>
      <c r="S630" s="3"/>
      <c r="T630" s="3"/>
      <c r="U630" s="3"/>
      <c r="V630" s="3"/>
      <c r="W630" s="3"/>
      <c r="X630" s="3"/>
      <c r="Y630" s="3"/>
      <c r="Z630" s="3"/>
    </row>
    <row r="631" ht="15.75" customHeight="1">
      <c r="A631" s="3"/>
      <c r="B631" s="3"/>
      <c r="C631" s="7"/>
      <c r="D631" s="3"/>
      <c r="E631" s="3"/>
      <c r="F631" s="7"/>
      <c r="G631" s="4"/>
      <c r="H631" s="3"/>
      <c r="I631" s="3"/>
      <c r="J631" s="3"/>
      <c r="K631" s="3"/>
      <c r="L631" s="3"/>
      <c r="M631" s="3"/>
      <c r="N631" s="3"/>
      <c r="O631" s="3"/>
      <c r="P631" s="3"/>
      <c r="Q631" s="3"/>
      <c r="R631" s="3"/>
      <c r="S631" s="3"/>
      <c r="T631" s="3"/>
      <c r="U631" s="3"/>
      <c r="V631" s="3"/>
      <c r="W631" s="3"/>
      <c r="X631" s="3"/>
      <c r="Y631" s="3"/>
      <c r="Z631" s="3"/>
    </row>
    <row r="632" ht="15.75" customHeight="1">
      <c r="A632" s="3"/>
      <c r="B632" s="3"/>
      <c r="C632" s="7"/>
      <c r="D632" s="3"/>
      <c r="E632" s="3"/>
      <c r="F632" s="7"/>
      <c r="G632" s="4"/>
      <c r="H632" s="3"/>
      <c r="I632" s="3"/>
      <c r="J632" s="3"/>
      <c r="K632" s="3"/>
      <c r="L632" s="3"/>
      <c r="M632" s="3"/>
      <c r="N632" s="3"/>
      <c r="O632" s="3"/>
      <c r="P632" s="3"/>
      <c r="Q632" s="3"/>
      <c r="R632" s="3"/>
      <c r="S632" s="3"/>
      <c r="T632" s="3"/>
      <c r="U632" s="3"/>
      <c r="V632" s="3"/>
      <c r="W632" s="3"/>
      <c r="X632" s="3"/>
      <c r="Y632" s="3"/>
      <c r="Z632" s="3"/>
    </row>
    <row r="633" ht="15.75" customHeight="1">
      <c r="A633" s="3"/>
      <c r="B633" s="3"/>
      <c r="C633" s="7"/>
      <c r="D633" s="3"/>
      <c r="E633" s="3"/>
      <c r="F633" s="7"/>
      <c r="G633" s="4"/>
      <c r="H633" s="3"/>
      <c r="I633" s="3"/>
      <c r="J633" s="3"/>
      <c r="K633" s="3"/>
      <c r="L633" s="3"/>
      <c r="M633" s="3"/>
      <c r="N633" s="3"/>
      <c r="O633" s="3"/>
      <c r="P633" s="3"/>
      <c r="Q633" s="3"/>
      <c r="R633" s="3"/>
      <c r="S633" s="3"/>
      <c r="T633" s="3"/>
      <c r="U633" s="3"/>
      <c r="V633" s="3"/>
      <c r="W633" s="3"/>
      <c r="X633" s="3"/>
      <c r="Y633" s="3"/>
      <c r="Z633" s="3"/>
    </row>
    <row r="634" ht="15.75" customHeight="1">
      <c r="A634" s="3"/>
      <c r="B634" s="3"/>
      <c r="C634" s="7"/>
      <c r="D634" s="3"/>
      <c r="E634" s="3"/>
      <c r="F634" s="7"/>
      <c r="G634" s="4"/>
      <c r="H634" s="3"/>
      <c r="I634" s="3"/>
      <c r="J634" s="3"/>
      <c r="K634" s="3"/>
      <c r="L634" s="3"/>
      <c r="M634" s="3"/>
      <c r="N634" s="3"/>
      <c r="O634" s="3"/>
      <c r="P634" s="3"/>
      <c r="Q634" s="3"/>
      <c r="R634" s="3"/>
      <c r="S634" s="3"/>
      <c r="T634" s="3"/>
      <c r="U634" s="3"/>
      <c r="V634" s="3"/>
      <c r="W634" s="3"/>
      <c r="X634" s="3"/>
      <c r="Y634" s="3"/>
      <c r="Z634" s="3"/>
    </row>
    <row r="635" ht="15.75" customHeight="1">
      <c r="A635" s="3"/>
      <c r="B635" s="3"/>
      <c r="C635" s="7"/>
      <c r="D635" s="3"/>
      <c r="E635" s="3"/>
      <c r="F635" s="7"/>
      <c r="G635" s="4"/>
      <c r="H635" s="3"/>
      <c r="I635" s="3"/>
      <c r="J635" s="3"/>
      <c r="K635" s="3"/>
      <c r="L635" s="3"/>
      <c r="M635" s="3"/>
      <c r="N635" s="3"/>
      <c r="O635" s="3"/>
      <c r="P635" s="3"/>
      <c r="Q635" s="3"/>
      <c r="R635" s="3"/>
      <c r="S635" s="3"/>
      <c r="T635" s="3"/>
      <c r="U635" s="3"/>
      <c r="V635" s="3"/>
      <c r="W635" s="3"/>
      <c r="X635" s="3"/>
      <c r="Y635" s="3"/>
      <c r="Z635" s="3"/>
    </row>
    <row r="636" ht="15.75" customHeight="1">
      <c r="A636" s="3"/>
      <c r="B636" s="3"/>
      <c r="C636" s="7"/>
      <c r="D636" s="3"/>
      <c r="E636" s="3"/>
      <c r="F636" s="7"/>
      <c r="G636" s="4"/>
      <c r="H636" s="3"/>
      <c r="I636" s="3"/>
      <c r="J636" s="3"/>
      <c r="K636" s="3"/>
      <c r="L636" s="3"/>
      <c r="M636" s="3"/>
      <c r="N636" s="3"/>
      <c r="O636" s="3"/>
      <c r="P636" s="3"/>
      <c r="Q636" s="3"/>
      <c r="R636" s="3"/>
      <c r="S636" s="3"/>
      <c r="T636" s="3"/>
      <c r="U636" s="3"/>
      <c r="V636" s="3"/>
      <c r="W636" s="3"/>
      <c r="X636" s="3"/>
      <c r="Y636" s="3"/>
      <c r="Z636" s="3"/>
    </row>
    <row r="637" ht="15.75" customHeight="1">
      <c r="A637" s="3"/>
      <c r="B637" s="3"/>
      <c r="C637" s="7"/>
      <c r="D637" s="3"/>
      <c r="E637" s="3"/>
      <c r="F637" s="7"/>
      <c r="G637" s="4"/>
      <c r="H637" s="3"/>
      <c r="I637" s="3"/>
      <c r="J637" s="3"/>
      <c r="K637" s="3"/>
      <c r="L637" s="3"/>
      <c r="M637" s="3"/>
      <c r="N637" s="3"/>
      <c r="O637" s="3"/>
      <c r="P637" s="3"/>
      <c r="Q637" s="3"/>
      <c r="R637" s="3"/>
      <c r="S637" s="3"/>
      <c r="T637" s="3"/>
      <c r="U637" s="3"/>
      <c r="V637" s="3"/>
      <c r="W637" s="3"/>
      <c r="X637" s="3"/>
      <c r="Y637" s="3"/>
      <c r="Z637" s="3"/>
    </row>
    <row r="638" ht="15.75" customHeight="1">
      <c r="A638" s="3"/>
      <c r="B638" s="3"/>
      <c r="C638" s="7"/>
      <c r="D638" s="3"/>
      <c r="E638" s="3"/>
      <c r="F638" s="7"/>
      <c r="G638" s="4"/>
      <c r="H638" s="3"/>
      <c r="I638" s="3"/>
      <c r="J638" s="3"/>
      <c r="K638" s="3"/>
      <c r="L638" s="3"/>
      <c r="M638" s="3"/>
      <c r="N638" s="3"/>
      <c r="O638" s="3"/>
      <c r="P638" s="3"/>
      <c r="Q638" s="3"/>
      <c r="R638" s="3"/>
      <c r="S638" s="3"/>
      <c r="T638" s="3"/>
      <c r="U638" s="3"/>
      <c r="V638" s="3"/>
      <c r="W638" s="3"/>
      <c r="X638" s="3"/>
      <c r="Y638" s="3"/>
      <c r="Z638" s="3"/>
    </row>
    <row r="639" ht="15.75" customHeight="1">
      <c r="A639" s="3"/>
      <c r="B639" s="3"/>
      <c r="C639" s="7"/>
      <c r="D639" s="3"/>
      <c r="E639" s="3"/>
      <c r="F639" s="7"/>
      <c r="G639" s="4"/>
      <c r="H639" s="3"/>
      <c r="I639" s="3"/>
      <c r="J639" s="3"/>
      <c r="K639" s="3"/>
      <c r="L639" s="3"/>
      <c r="M639" s="3"/>
      <c r="N639" s="3"/>
      <c r="O639" s="3"/>
      <c r="P639" s="3"/>
      <c r="Q639" s="3"/>
      <c r="R639" s="3"/>
      <c r="S639" s="3"/>
      <c r="T639" s="3"/>
      <c r="U639" s="3"/>
      <c r="V639" s="3"/>
      <c r="W639" s="3"/>
      <c r="X639" s="3"/>
      <c r="Y639" s="3"/>
      <c r="Z639" s="3"/>
    </row>
    <row r="640" ht="15.75" customHeight="1">
      <c r="A640" s="3"/>
      <c r="B640" s="3"/>
      <c r="C640" s="7"/>
      <c r="D640" s="3"/>
      <c r="E640" s="3"/>
      <c r="F640" s="7"/>
      <c r="G640" s="4"/>
      <c r="H640" s="3"/>
      <c r="I640" s="3"/>
      <c r="J640" s="3"/>
      <c r="K640" s="3"/>
      <c r="L640" s="3"/>
      <c r="M640" s="3"/>
      <c r="N640" s="3"/>
      <c r="O640" s="3"/>
      <c r="P640" s="3"/>
      <c r="Q640" s="3"/>
      <c r="R640" s="3"/>
      <c r="S640" s="3"/>
      <c r="T640" s="3"/>
      <c r="U640" s="3"/>
      <c r="V640" s="3"/>
      <c r="W640" s="3"/>
      <c r="X640" s="3"/>
      <c r="Y640" s="3"/>
      <c r="Z640" s="3"/>
    </row>
    <row r="641" ht="15.75" customHeight="1">
      <c r="A641" s="3"/>
      <c r="B641" s="3"/>
      <c r="C641" s="7"/>
      <c r="D641" s="3"/>
      <c r="E641" s="3"/>
      <c r="F641" s="7"/>
      <c r="G641" s="4"/>
      <c r="H641" s="3"/>
      <c r="I641" s="3"/>
      <c r="J641" s="3"/>
      <c r="K641" s="3"/>
      <c r="L641" s="3"/>
      <c r="M641" s="3"/>
      <c r="N641" s="3"/>
      <c r="O641" s="3"/>
      <c r="P641" s="3"/>
      <c r="Q641" s="3"/>
      <c r="R641" s="3"/>
      <c r="S641" s="3"/>
      <c r="T641" s="3"/>
      <c r="U641" s="3"/>
      <c r="V641" s="3"/>
      <c r="W641" s="3"/>
      <c r="X641" s="3"/>
      <c r="Y641" s="3"/>
      <c r="Z641" s="3"/>
    </row>
    <row r="642" ht="15.75" customHeight="1">
      <c r="A642" s="3"/>
      <c r="B642" s="3"/>
      <c r="C642" s="7"/>
      <c r="D642" s="3"/>
      <c r="E642" s="3"/>
      <c r="F642" s="7"/>
      <c r="G642" s="4"/>
      <c r="H642" s="3"/>
      <c r="I642" s="3"/>
      <c r="J642" s="3"/>
      <c r="K642" s="3"/>
      <c r="L642" s="3"/>
      <c r="M642" s="3"/>
      <c r="N642" s="3"/>
      <c r="O642" s="3"/>
      <c r="P642" s="3"/>
      <c r="Q642" s="3"/>
      <c r="R642" s="3"/>
      <c r="S642" s="3"/>
      <c r="T642" s="3"/>
      <c r="U642" s="3"/>
      <c r="V642" s="3"/>
      <c r="W642" s="3"/>
      <c r="X642" s="3"/>
      <c r="Y642" s="3"/>
      <c r="Z642" s="3"/>
    </row>
    <row r="643" ht="15.75" customHeight="1">
      <c r="A643" s="3"/>
      <c r="B643" s="3"/>
      <c r="C643" s="7"/>
      <c r="D643" s="3"/>
      <c r="E643" s="3"/>
      <c r="F643" s="7"/>
      <c r="G643" s="4"/>
      <c r="H643" s="3"/>
      <c r="I643" s="3"/>
      <c r="J643" s="3"/>
      <c r="K643" s="3"/>
      <c r="L643" s="3"/>
      <c r="M643" s="3"/>
      <c r="N643" s="3"/>
      <c r="O643" s="3"/>
      <c r="P643" s="3"/>
      <c r="Q643" s="3"/>
      <c r="R643" s="3"/>
      <c r="S643" s="3"/>
      <c r="T643" s="3"/>
      <c r="U643" s="3"/>
      <c r="V643" s="3"/>
      <c r="W643" s="3"/>
      <c r="X643" s="3"/>
      <c r="Y643" s="3"/>
      <c r="Z643" s="3"/>
    </row>
    <row r="644" ht="15.75" customHeight="1">
      <c r="A644" s="3"/>
      <c r="B644" s="3"/>
      <c r="C644" s="7"/>
      <c r="D644" s="3"/>
      <c r="E644" s="3"/>
      <c r="F644" s="7"/>
      <c r="G644" s="4"/>
      <c r="H644" s="3"/>
      <c r="I644" s="3"/>
      <c r="J644" s="3"/>
      <c r="K644" s="3"/>
      <c r="L644" s="3"/>
      <c r="M644" s="3"/>
      <c r="N644" s="3"/>
      <c r="O644" s="3"/>
      <c r="P644" s="3"/>
      <c r="Q644" s="3"/>
      <c r="R644" s="3"/>
      <c r="S644" s="3"/>
      <c r="T644" s="3"/>
      <c r="U644" s="3"/>
      <c r="V644" s="3"/>
      <c r="W644" s="3"/>
      <c r="X644" s="3"/>
      <c r="Y644" s="3"/>
      <c r="Z644" s="3"/>
    </row>
    <row r="645" ht="15.75" customHeight="1">
      <c r="A645" s="3"/>
      <c r="B645" s="3"/>
      <c r="C645" s="7"/>
      <c r="D645" s="3"/>
      <c r="E645" s="3"/>
      <c r="F645" s="7"/>
      <c r="G645" s="4"/>
      <c r="H645" s="3"/>
      <c r="I645" s="3"/>
      <c r="J645" s="3"/>
      <c r="K645" s="3"/>
      <c r="L645" s="3"/>
      <c r="M645" s="3"/>
      <c r="N645" s="3"/>
      <c r="O645" s="3"/>
      <c r="P645" s="3"/>
      <c r="Q645" s="3"/>
      <c r="R645" s="3"/>
      <c r="S645" s="3"/>
      <c r="T645" s="3"/>
      <c r="U645" s="3"/>
      <c r="V645" s="3"/>
      <c r="W645" s="3"/>
      <c r="X645" s="3"/>
      <c r="Y645" s="3"/>
      <c r="Z645" s="3"/>
    </row>
    <row r="646" ht="15.75" customHeight="1">
      <c r="A646" s="3"/>
      <c r="B646" s="3"/>
      <c r="C646" s="7"/>
      <c r="D646" s="3"/>
      <c r="E646" s="3"/>
      <c r="F646" s="7"/>
      <c r="G646" s="4"/>
      <c r="H646" s="3"/>
      <c r="I646" s="3"/>
      <c r="J646" s="3"/>
      <c r="K646" s="3"/>
      <c r="L646" s="3"/>
      <c r="M646" s="3"/>
      <c r="N646" s="3"/>
      <c r="O646" s="3"/>
      <c r="P646" s="3"/>
      <c r="Q646" s="3"/>
      <c r="R646" s="3"/>
      <c r="S646" s="3"/>
      <c r="T646" s="3"/>
      <c r="U646" s="3"/>
      <c r="V646" s="3"/>
      <c r="W646" s="3"/>
      <c r="X646" s="3"/>
      <c r="Y646" s="3"/>
      <c r="Z646" s="3"/>
    </row>
    <row r="647" ht="15.75" customHeight="1">
      <c r="A647" s="3"/>
      <c r="B647" s="3"/>
      <c r="C647" s="7"/>
      <c r="D647" s="3"/>
      <c r="E647" s="3"/>
      <c r="F647" s="7"/>
      <c r="G647" s="4"/>
      <c r="H647" s="3"/>
      <c r="I647" s="3"/>
      <c r="J647" s="3"/>
      <c r="K647" s="3"/>
      <c r="L647" s="3"/>
      <c r="M647" s="3"/>
      <c r="N647" s="3"/>
      <c r="O647" s="3"/>
      <c r="P647" s="3"/>
      <c r="Q647" s="3"/>
      <c r="R647" s="3"/>
      <c r="S647" s="3"/>
      <c r="T647" s="3"/>
      <c r="U647" s="3"/>
      <c r="V647" s="3"/>
      <c r="W647" s="3"/>
      <c r="X647" s="3"/>
      <c r="Y647" s="3"/>
      <c r="Z647" s="3"/>
    </row>
    <row r="648" ht="15.75" customHeight="1">
      <c r="A648" s="3"/>
      <c r="B648" s="3"/>
      <c r="C648" s="7"/>
      <c r="D648" s="3"/>
      <c r="E648" s="3"/>
      <c r="F648" s="7"/>
      <c r="G648" s="4"/>
      <c r="H648" s="3"/>
      <c r="I648" s="3"/>
      <c r="J648" s="3"/>
      <c r="K648" s="3"/>
      <c r="L648" s="3"/>
      <c r="M648" s="3"/>
      <c r="N648" s="3"/>
      <c r="O648" s="3"/>
      <c r="P648" s="3"/>
      <c r="Q648" s="3"/>
      <c r="R648" s="3"/>
      <c r="S648" s="3"/>
      <c r="T648" s="3"/>
      <c r="U648" s="3"/>
      <c r="V648" s="3"/>
      <c r="W648" s="3"/>
      <c r="X648" s="3"/>
      <c r="Y648" s="3"/>
      <c r="Z648" s="3"/>
    </row>
    <row r="649" ht="15.75" customHeight="1">
      <c r="A649" s="3"/>
      <c r="B649" s="3"/>
      <c r="C649" s="7"/>
      <c r="D649" s="3"/>
      <c r="E649" s="3"/>
      <c r="F649" s="7"/>
      <c r="G649" s="4"/>
      <c r="H649" s="3"/>
      <c r="I649" s="3"/>
      <c r="J649" s="3"/>
      <c r="K649" s="3"/>
      <c r="L649" s="3"/>
      <c r="M649" s="3"/>
      <c r="N649" s="3"/>
      <c r="O649" s="3"/>
      <c r="P649" s="3"/>
      <c r="Q649" s="3"/>
      <c r="R649" s="3"/>
      <c r="S649" s="3"/>
      <c r="T649" s="3"/>
      <c r="U649" s="3"/>
      <c r="V649" s="3"/>
      <c r="W649" s="3"/>
      <c r="X649" s="3"/>
      <c r="Y649" s="3"/>
      <c r="Z649" s="3"/>
    </row>
    <row r="650" ht="15.75" customHeight="1">
      <c r="A650" s="3"/>
      <c r="B650" s="3"/>
      <c r="C650" s="7"/>
      <c r="D650" s="3"/>
      <c r="E650" s="3"/>
      <c r="F650" s="7"/>
      <c r="G650" s="4"/>
      <c r="H650" s="3"/>
      <c r="I650" s="3"/>
      <c r="J650" s="3"/>
      <c r="K650" s="3"/>
      <c r="L650" s="3"/>
      <c r="M650" s="3"/>
      <c r="N650" s="3"/>
      <c r="O650" s="3"/>
      <c r="P650" s="3"/>
      <c r="Q650" s="3"/>
      <c r="R650" s="3"/>
      <c r="S650" s="3"/>
      <c r="T650" s="3"/>
      <c r="U650" s="3"/>
      <c r="V650" s="3"/>
      <c r="W650" s="3"/>
      <c r="X650" s="3"/>
      <c r="Y650" s="3"/>
      <c r="Z650" s="3"/>
    </row>
    <row r="651" ht="15.75" customHeight="1">
      <c r="A651" s="3"/>
      <c r="B651" s="3"/>
      <c r="C651" s="7"/>
      <c r="D651" s="3"/>
      <c r="E651" s="3"/>
      <c r="F651" s="7"/>
      <c r="G651" s="4"/>
      <c r="H651" s="3"/>
      <c r="I651" s="3"/>
      <c r="J651" s="3"/>
      <c r="K651" s="3"/>
      <c r="L651" s="3"/>
      <c r="M651" s="3"/>
      <c r="N651" s="3"/>
      <c r="O651" s="3"/>
      <c r="P651" s="3"/>
      <c r="Q651" s="3"/>
      <c r="R651" s="3"/>
      <c r="S651" s="3"/>
      <c r="T651" s="3"/>
      <c r="U651" s="3"/>
      <c r="V651" s="3"/>
      <c r="W651" s="3"/>
      <c r="X651" s="3"/>
      <c r="Y651" s="3"/>
      <c r="Z651" s="3"/>
    </row>
    <row r="652" ht="15.75" customHeight="1">
      <c r="A652" s="3"/>
      <c r="B652" s="3"/>
      <c r="C652" s="7"/>
      <c r="D652" s="3"/>
      <c r="E652" s="3"/>
      <c r="F652" s="7"/>
      <c r="G652" s="4"/>
      <c r="H652" s="3"/>
      <c r="I652" s="3"/>
      <c r="J652" s="3"/>
      <c r="K652" s="3"/>
      <c r="L652" s="3"/>
      <c r="M652" s="3"/>
      <c r="N652" s="3"/>
      <c r="O652" s="3"/>
      <c r="P652" s="3"/>
      <c r="Q652" s="3"/>
      <c r="R652" s="3"/>
      <c r="S652" s="3"/>
      <c r="T652" s="3"/>
      <c r="U652" s="3"/>
      <c r="V652" s="3"/>
      <c r="W652" s="3"/>
      <c r="X652" s="3"/>
      <c r="Y652" s="3"/>
      <c r="Z652" s="3"/>
    </row>
    <row r="653" ht="15.75" customHeight="1">
      <c r="A653" s="3"/>
      <c r="B653" s="3"/>
      <c r="C653" s="7"/>
      <c r="D653" s="3"/>
      <c r="E653" s="3"/>
      <c r="F653" s="7"/>
      <c r="G653" s="4"/>
      <c r="H653" s="3"/>
      <c r="I653" s="3"/>
      <c r="J653" s="3"/>
      <c r="K653" s="3"/>
      <c r="L653" s="3"/>
      <c r="M653" s="3"/>
      <c r="N653" s="3"/>
      <c r="O653" s="3"/>
      <c r="P653" s="3"/>
      <c r="Q653" s="3"/>
      <c r="R653" s="3"/>
      <c r="S653" s="3"/>
      <c r="T653" s="3"/>
      <c r="U653" s="3"/>
      <c r="V653" s="3"/>
      <c r="W653" s="3"/>
      <c r="X653" s="3"/>
      <c r="Y653" s="3"/>
      <c r="Z653" s="3"/>
    </row>
    <row r="654" ht="15.75" customHeight="1">
      <c r="A654" s="3"/>
      <c r="B654" s="3"/>
      <c r="C654" s="7"/>
      <c r="D654" s="3"/>
      <c r="E654" s="3"/>
      <c r="F654" s="7"/>
      <c r="G654" s="4"/>
      <c r="H654" s="3"/>
      <c r="I654" s="3"/>
      <c r="J654" s="3"/>
      <c r="K654" s="3"/>
      <c r="L654" s="3"/>
      <c r="M654" s="3"/>
      <c r="N654" s="3"/>
      <c r="O654" s="3"/>
      <c r="P654" s="3"/>
      <c r="Q654" s="3"/>
      <c r="R654" s="3"/>
      <c r="S654" s="3"/>
      <c r="T654" s="3"/>
      <c r="U654" s="3"/>
      <c r="V654" s="3"/>
      <c r="W654" s="3"/>
      <c r="X654" s="3"/>
      <c r="Y654" s="3"/>
      <c r="Z654" s="3"/>
    </row>
    <row r="655" ht="15.75" customHeight="1">
      <c r="A655" s="3"/>
      <c r="B655" s="3"/>
      <c r="C655" s="7"/>
      <c r="D655" s="3"/>
      <c r="E655" s="3"/>
      <c r="F655" s="7"/>
      <c r="G655" s="4"/>
      <c r="H655" s="3"/>
      <c r="I655" s="3"/>
      <c r="J655" s="3"/>
      <c r="K655" s="3"/>
      <c r="L655" s="3"/>
      <c r="M655" s="3"/>
      <c r="N655" s="3"/>
      <c r="O655" s="3"/>
      <c r="P655" s="3"/>
      <c r="Q655" s="3"/>
      <c r="R655" s="3"/>
      <c r="S655" s="3"/>
      <c r="T655" s="3"/>
      <c r="U655" s="3"/>
      <c r="V655" s="3"/>
      <c r="W655" s="3"/>
      <c r="X655" s="3"/>
      <c r="Y655" s="3"/>
      <c r="Z655" s="3"/>
    </row>
    <row r="656" ht="15.75" customHeight="1">
      <c r="A656" s="3"/>
      <c r="B656" s="3"/>
      <c r="C656" s="7"/>
      <c r="D656" s="3"/>
      <c r="E656" s="3"/>
      <c r="F656" s="7"/>
      <c r="G656" s="4"/>
      <c r="H656" s="3"/>
      <c r="I656" s="3"/>
      <c r="J656" s="3"/>
      <c r="K656" s="3"/>
      <c r="L656" s="3"/>
      <c r="M656" s="3"/>
      <c r="N656" s="3"/>
      <c r="O656" s="3"/>
      <c r="P656" s="3"/>
      <c r="Q656" s="3"/>
      <c r="R656" s="3"/>
      <c r="S656" s="3"/>
      <c r="T656" s="3"/>
      <c r="U656" s="3"/>
      <c r="V656" s="3"/>
      <c r="W656" s="3"/>
      <c r="X656" s="3"/>
      <c r="Y656" s="3"/>
      <c r="Z656" s="3"/>
    </row>
    <row r="657" ht="15.75" customHeight="1">
      <c r="A657" s="3"/>
      <c r="B657" s="3"/>
      <c r="C657" s="7"/>
      <c r="D657" s="3"/>
      <c r="E657" s="3"/>
      <c r="F657" s="7"/>
      <c r="G657" s="4"/>
      <c r="H657" s="3"/>
      <c r="I657" s="3"/>
      <c r="J657" s="3"/>
      <c r="K657" s="3"/>
      <c r="L657" s="3"/>
      <c r="M657" s="3"/>
      <c r="N657" s="3"/>
      <c r="O657" s="3"/>
      <c r="P657" s="3"/>
      <c r="Q657" s="3"/>
      <c r="R657" s="3"/>
      <c r="S657" s="3"/>
      <c r="T657" s="3"/>
      <c r="U657" s="3"/>
      <c r="V657" s="3"/>
      <c r="W657" s="3"/>
      <c r="X657" s="3"/>
      <c r="Y657" s="3"/>
      <c r="Z657" s="3"/>
    </row>
    <row r="658" ht="15.75" customHeight="1">
      <c r="A658" s="3"/>
      <c r="B658" s="3"/>
      <c r="C658" s="7"/>
      <c r="D658" s="3"/>
      <c r="E658" s="3"/>
      <c r="F658" s="7"/>
      <c r="G658" s="4"/>
      <c r="H658" s="3"/>
      <c r="I658" s="3"/>
      <c r="J658" s="3"/>
      <c r="K658" s="3"/>
      <c r="L658" s="3"/>
      <c r="M658" s="3"/>
      <c r="N658" s="3"/>
      <c r="O658" s="3"/>
      <c r="P658" s="3"/>
      <c r="Q658" s="3"/>
      <c r="R658" s="3"/>
      <c r="S658" s="3"/>
      <c r="T658" s="3"/>
      <c r="U658" s="3"/>
      <c r="V658" s="3"/>
      <c r="W658" s="3"/>
      <c r="X658" s="3"/>
      <c r="Y658" s="3"/>
      <c r="Z658" s="3"/>
    </row>
    <row r="659" ht="15.75" customHeight="1">
      <c r="A659" s="3"/>
      <c r="B659" s="3"/>
      <c r="C659" s="7"/>
      <c r="D659" s="3"/>
      <c r="E659" s="3"/>
      <c r="F659" s="7"/>
      <c r="G659" s="4"/>
      <c r="H659" s="3"/>
      <c r="I659" s="3"/>
      <c r="J659" s="3"/>
      <c r="K659" s="3"/>
      <c r="L659" s="3"/>
      <c r="M659" s="3"/>
      <c r="N659" s="3"/>
      <c r="O659" s="3"/>
      <c r="P659" s="3"/>
      <c r="Q659" s="3"/>
      <c r="R659" s="3"/>
      <c r="S659" s="3"/>
      <c r="T659" s="3"/>
      <c r="U659" s="3"/>
      <c r="V659" s="3"/>
      <c r="W659" s="3"/>
      <c r="X659" s="3"/>
      <c r="Y659" s="3"/>
      <c r="Z659" s="3"/>
    </row>
    <row r="660" ht="15.75" customHeight="1">
      <c r="A660" s="3"/>
      <c r="B660" s="3"/>
      <c r="C660" s="7"/>
      <c r="D660" s="3"/>
      <c r="E660" s="3"/>
      <c r="F660" s="7"/>
      <c r="G660" s="4"/>
      <c r="H660" s="3"/>
      <c r="I660" s="3"/>
      <c r="J660" s="3"/>
      <c r="K660" s="3"/>
      <c r="L660" s="3"/>
      <c r="M660" s="3"/>
      <c r="N660" s="3"/>
      <c r="O660" s="3"/>
      <c r="P660" s="3"/>
      <c r="Q660" s="3"/>
      <c r="R660" s="3"/>
      <c r="S660" s="3"/>
      <c r="T660" s="3"/>
      <c r="U660" s="3"/>
      <c r="V660" s="3"/>
      <c r="W660" s="3"/>
      <c r="X660" s="3"/>
      <c r="Y660" s="3"/>
      <c r="Z660" s="3"/>
    </row>
    <row r="661" ht="15.75" customHeight="1">
      <c r="A661" s="3"/>
      <c r="B661" s="3"/>
      <c r="C661" s="7"/>
      <c r="D661" s="3"/>
      <c r="E661" s="3"/>
      <c r="F661" s="7"/>
      <c r="G661" s="4"/>
      <c r="H661" s="3"/>
      <c r="I661" s="3"/>
      <c r="J661" s="3"/>
      <c r="K661" s="3"/>
      <c r="L661" s="3"/>
      <c r="M661" s="3"/>
      <c r="N661" s="3"/>
      <c r="O661" s="3"/>
      <c r="P661" s="3"/>
      <c r="Q661" s="3"/>
      <c r="R661" s="3"/>
      <c r="S661" s="3"/>
      <c r="T661" s="3"/>
      <c r="U661" s="3"/>
      <c r="V661" s="3"/>
      <c r="W661" s="3"/>
      <c r="X661" s="3"/>
      <c r="Y661" s="3"/>
      <c r="Z661" s="3"/>
    </row>
    <row r="662" ht="15.75" customHeight="1">
      <c r="A662" s="3"/>
      <c r="B662" s="3"/>
      <c r="C662" s="7"/>
      <c r="D662" s="3"/>
      <c r="E662" s="3"/>
      <c r="F662" s="7"/>
      <c r="G662" s="4"/>
      <c r="H662" s="3"/>
      <c r="I662" s="3"/>
      <c r="J662" s="3"/>
      <c r="K662" s="3"/>
      <c r="L662" s="3"/>
      <c r="M662" s="3"/>
      <c r="N662" s="3"/>
      <c r="O662" s="3"/>
      <c r="P662" s="3"/>
      <c r="Q662" s="3"/>
      <c r="R662" s="3"/>
      <c r="S662" s="3"/>
      <c r="T662" s="3"/>
      <c r="U662" s="3"/>
      <c r="V662" s="3"/>
      <c r="W662" s="3"/>
      <c r="X662" s="3"/>
      <c r="Y662" s="3"/>
      <c r="Z662" s="3"/>
    </row>
    <row r="663" ht="15.75" customHeight="1">
      <c r="A663" s="3"/>
      <c r="B663" s="3"/>
      <c r="C663" s="7"/>
      <c r="D663" s="3"/>
      <c r="E663" s="3"/>
      <c r="F663" s="7"/>
      <c r="G663" s="4"/>
      <c r="H663" s="3"/>
      <c r="I663" s="3"/>
      <c r="J663" s="3"/>
      <c r="K663" s="3"/>
      <c r="L663" s="3"/>
      <c r="M663" s="3"/>
      <c r="N663" s="3"/>
      <c r="O663" s="3"/>
      <c r="P663" s="3"/>
      <c r="Q663" s="3"/>
      <c r="R663" s="3"/>
      <c r="S663" s="3"/>
      <c r="T663" s="3"/>
      <c r="U663" s="3"/>
      <c r="V663" s="3"/>
      <c r="W663" s="3"/>
      <c r="X663" s="3"/>
      <c r="Y663" s="3"/>
      <c r="Z663" s="3"/>
    </row>
    <row r="664" ht="15.75" customHeight="1">
      <c r="A664" s="3"/>
      <c r="B664" s="3"/>
      <c r="C664" s="7"/>
      <c r="D664" s="3"/>
      <c r="E664" s="3"/>
      <c r="F664" s="7"/>
      <c r="G664" s="4"/>
      <c r="H664" s="3"/>
      <c r="I664" s="3"/>
      <c r="J664" s="3"/>
      <c r="K664" s="3"/>
      <c r="L664" s="3"/>
      <c r="M664" s="3"/>
      <c r="N664" s="3"/>
      <c r="O664" s="3"/>
      <c r="P664" s="3"/>
      <c r="Q664" s="3"/>
      <c r="R664" s="3"/>
      <c r="S664" s="3"/>
      <c r="T664" s="3"/>
      <c r="U664" s="3"/>
      <c r="V664" s="3"/>
      <c r="W664" s="3"/>
      <c r="X664" s="3"/>
      <c r="Y664" s="3"/>
      <c r="Z664" s="3"/>
    </row>
    <row r="665" ht="15.75" customHeight="1">
      <c r="A665" s="3"/>
      <c r="B665" s="3"/>
      <c r="C665" s="7"/>
      <c r="D665" s="3"/>
      <c r="E665" s="3"/>
      <c r="F665" s="7"/>
      <c r="G665" s="4"/>
      <c r="H665" s="3"/>
      <c r="I665" s="3"/>
      <c r="J665" s="3"/>
      <c r="K665" s="3"/>
      <c r="L665" s="3"/>
      <c r="M665" s="3"/>
      <c r="N665" s="3"/>
      <c r="O665" s="3"/>
      <c r="P665" s="3"/>
      <c r="Q665" s="3"/>
      <c r="R665" s="3"/>
      <c r="S665" s="3"/>
      <c r="T665" s="3"/>
      <c r="U665" s="3"/>
      <c r="V665" s="3"/>
      <c r="W665" s="3"/>
      <c r="X665" s="3"/>
      <c r="Y665" s="3"/>
      <c r="Z665" s="3"/>
    </row>
    <row r="666" ht="15.75" customHeight="1">
      <c r="A666" s="3"/>
      <c r="B666" s="3"/>
      <c r="C666" s="7"/>
      <c r="D666" s="3"/>
      <c r="E666" s="3"/>
      <c r="F666" s="7"/>
      <c r="G666" s="4"/>
      <c r="H666" s="3"/>
      <c r="I666" s="3"/>
      <c r="J666" s="3"/>
      <c r="K666" s="3"/>
      <c r="L666" s="3"/>
      <c r="M666" s="3"/>
      <c r="N666" s="3"/>
      <c r="O666" s="3"/>
      <c r="P666" s="3"/>
      <c r="Q666" s="3"/>
      <c r="R666" s="3"/>
      <c r="S666" s="3"/>
      <c r="T666" s="3"/>
      <c r="U666" s="3"/>
      <c r="V666" s="3"/>
      <c r="W666" s="3"/>
      <c r="X666" s="3"/>
      <c r="Y666" s="3"/>
      <c r="Z666" s="3"/>
    </row>
    <row r="667" ht="15.75" customHeight="1">
      <c r="A667" s="3"/>
      <c r="B667" s="3"/>
      <c r="C667" s="7"/>
      <c r="D667" s="3"/>
      <c r="E667" s="3"/>
      <c r="F667" s="7"/>
      <c r="G667" s="4"/>
      <c r="H667" s="3"/>
      <c r="I667" s="3"/>
      <c r="J667" s="3"/>
      <c r="K667" s="3"/>
      <c r="L667" s="3"/>
      <c r="M667" s="3"/>
      <c r="N667" s="3"/>
      <c r="O667" s="3"/>
      <c r="P667" s="3"/>
      <c r="Q667" s="3"/>
      <c r="R667" s="3"/>
      <c r="S667" s="3"/>
      <c r="T667" s="3"/>
      <c r="U667" s="3"/>
      <c r="V667" s="3"/>
      <c r="W667" s="3"/>
      <c r="X667" s="3"/>
      <c r="Y667" s="3"/>
      <c r="Z667" s="3"/>
    </row>
    <row r="668" ht="15.75" customHeight="1">
      <c r="A668" s="3"/>
      <c r="B668" s="3"/>
      <c r="C668" s="7"/>
      <c r="D668" s="3"/>
      <c r="E668" s="3"/>
      <c r="F668" s="7"/>
      <c r="G668" s="4"/>
      <c r="H668" s="3"/>
      <c r="I668" s="3"/>
      <c r="J668" s="3"/>
      <c r="K668" s="3"/>
      <c r="L668" s="3"/>
      <c r="M668" s="3"/>
      <c r="N668" s="3"/>
      <c r="O668" s="3"/>
      <c r="P668" s="3"/>
      <c r="Q668" s="3"/>
      <c r="R668" s="3"/>
      <c r="S668" s="3"/>
      <c r="T668" s="3"/>
      <c r="U668" s="3"/>
      <c r="V668" s="3"/>
      <c r="W668" s="3"/>
      <c r="X668" s="3"/>
      <c r="Y668" s="3"/>
      <c r="Z668" s="3"/>
    </row>
    <row r="669" ht="15.75" customHeight="1">
      <c r="A669" s="3"/>
      <c r="B669" s="3"/>
      <c r="C669" s="7"/>
      <c r="D669" s="3"/>
      <c r="E669" s="3"/>
      <c r="F669" s="7"/>
      <c r="G669" s="4"/>
      <c r="H669" s="3"/>
      <c r="I669" s="3"/>
      <c r="J669" s="3"/>
      <c r="K669" s="3"/>
      <c r="L669" s="3"/>
      <c r="M669" s="3"/>
      <c r="N669" s="3"/>
      <c r="O669" s="3"/>
      <c r="P669" s="3"/>
      <c r="Q669" s="3"/>
      <c r="R669" s="3"/>
      <c r="S669" s="3"/>
      <c r="T669" s="3"/>
      <c r="U669" s="3"/>
      <c r="V669" s="3"/>
      <c r="W669" s="3"/>
      <c r="X669" s="3"/>
      <c r="Y669" s="3"/>
      <c r="Z669" s="3"/>
    </row>
    <row r="670" ht="15.75" customHeight="1">
      <c r="A670" s="3"/>
      <c r="B670" s="3"/>
      <c r="C670" s="7"/>
      <c r="D670" s="3"/>
      <c r="E670" s="3"/>
      <c r="F670" s="7"/>
      <c r="G670" s="4"/>
      <c r="H670" s="3"/>
      <c r="I670" s="3"/>
      <c r="J670" s="3"/>
      <c r="K670" s="3"/>
      <c r="L670" s="3"/>
      <c r="M670" s="3"/>
      <c r="N670" s="3"/>
      <c r="O670" s="3"/>
      <c r="P670" s="3"/>
      <c r="Q670" s="3"/>
      <c r="R670" s="3"/>
      <c r="S670" s="3"/>
      <c r="T670" s="3"/>
      <c r="U670" s="3"/>
      <c r="V670" s="3"/>
      <c r="W670" s="3"/>
      <c r="X670" s="3"/>
      <c r="Y670" s="3"/>
      <c r="Z670" s="3"/>
    </row>
    <row r="671" ht="15.75" customHeight="1">
      <c r="A671" s="3"/>
      <c r="B671" s="3"/>
      <c r="C671" s="7"/>
      <c r="D671" s="3"/>
      <c r="E671" s="3"/>
      <c r="F671" s="7"/>
      <c r="G671" s="4"/>
      <c r="H671" s="3"/>
      <c r="I671" s="3"/>
      <c r="J671" s="3"/>
      <c r="K671" s="3"/>
      <c r="L671" s="3"/>
      <c r="M671" s="3"/>
      <c r="N671" s="3"/>
      <c r="O671" s="3"/>
      <c r="P671" s="3"/>
      <c r="Q671" s="3"/>
      <c r="R671" s="3"/>
      <c r="S671" s="3"/>
      <c r="T671" s="3"/>
      <c r="U671" s="3"/>
      <c r="V671" s="3"/>
      <c r="W671" s="3"/>
      <c r="X671" s="3"/>
      <c r="Y671" s="3"/>
      <c r="Z671" s="3"/>
    </row>
    <row r="672" ht="15.75" customHeight="1">
      <c r="A672" s="3"/>
      <c r="B672" s="3"/>
      <c r="C672" s="7"/>
      <c r="D672" s="3"/>
      <c r="E672" s="3"/>
      <c r="F672" s="7"/>
      <c r="G672" s="4"/>
      <c r="H672" s="3"/>
      <c r="I672" s="3"/>
      <c r="J672" s="3"/>
      <c r="K672" s="3"/>
      <c r="L672" s="3"/>
      <c r="M672" s="3"/>
      <c r="N672" s="3"/>
      <c r="O672" s="3"/>
      <c r="P672" s="3"/>
      <c r="Q672" s="3"/>
      <c r="R672" s="3"/>
      <c r="S672" s="3"/>
      <c r="T672" s="3"/>
      <c r="U672" s="3"/>
      <c r="V672" s="3"/>
      <c r="W672" s="3"/>
      <c r="X672" s="3"/>
      <c r="Y672" s="3"/>
      <c r="Z672" s="3"/>
    </row>
    <row r="673" ht="15.75" customHeight="1">
      <c r="A673" s="3"/>
      <c r="B673" s="3"/>
      <c r="C673" s="7"/>
      <c r="D673" s="3"/>
      <c r="E673" s="3"/>
      <c r="F673" s="7"/>
      <c r="G673" s="4"/>
      <c r="H673" s="3"/>
      <c r="I673" s="3"/>
      <c r="J673" s="3"/>
      <c r="K673" s="3"/>
      <c r="L673" s="3"/>
      <c r="M673" s="3"/>
      <c r="N673" s="3"/>
      <c r="O673" s="3"/>
      <c r="P673" s="3"/>
      <c r="Q673" s="3"/>
      <c r="R673" s="3"/>
      <c r="S673" s="3"/>
      <c r="T673" s="3"/>
      <c r="U673" s="3"/>
      <c r="V673" s="3"/>
      <c r="W673" s="3"/>
      <c r="X673" s="3"/>
      <c r="Y673" s="3"/>
      <c r="Z673" s="3"/>
    </row>
    <row r="674" ht="15.75" customHeight="1">
      <c r="A674" s="3"/>
      <c r="B674" s="3"/>
      <c r="C674" s="7"/>
      <c r="D674" s="3"/>
      <c r="E674" s="3"/>
      <c r="F674" s="7"/>
      <c r="G674" s="4"/>
      <c r="H674" s="3"/>
      <c r="I674" s="3"/>
      <c r="J674" s="3"/>
      <c r="K674" s="3"/>
      <c r="L674" s="3"/>
      <c r="M674" s="3"/>
      <c r="N674" s="3"/>
      <c r="O674" s="3"/>
      <c r="P674" s="3"/>
      <c r="Q674" s="3"/>
      <c r="R674" s="3"/>
      <c r="S674" s="3"/>
      <c r="T674" s="3"/>
      <c r="U674" s="3"/>
      <c r="V674" s="3"/>
      <c r="W674" s="3"/>
      <c r="X674" s="3"/>
      <c r="Y674" s="3"/>
      <c r="Z674" s="3"/>
    </row>
    <row r="675" ht="15.75" customHeight="1">
      <c r="A675" s="3"/>
      <c r="B675" s="3"/>
      <c r="C675" s="7"/>
      <c r="D675" s="3"/>
      <c r="E675" s="3"/>
      <c r="F675" s="7"/>
      <c r="G675" s="4"/>
      <c r="H675" s="3"/>
      <c r="I675" s="3"/>
      <c r="J675" s="3"/>
      <c r="K675" s="3"/>
      <c r="L675" s="3"/>
      <c r="M675" s="3"/>
      <c r="N675" s="3"/>
      <c r="O675" s="3"/>
      <c r="P675" s="3"/>
      <c r="Q675" s="3"/>
      <c r="R675" s="3"/>
      <c r="S675" s="3"/>
      <c r="T675" s="3"/>
      <c r="U675" s="3"/>
      <c r="V675" s="3"/>
      <c r="W675" s="3"/>
      <c r="X675" s="3"/>
      <c r="Y675" s="3"/>
      <c r="Z675" s="3"/>
    </row>
    <row r="676" ht="15.75" customHeight="1">
      <c r="A676" s="3"/>
      <c r="B676" s="3"/>
      <c r="C676" s="7"/>
      <c r="D676" s="3"/>
      <c r="E676" s="3"/>
      <c r="F676" s="7"/>
      <c r="G676" s="4"/>
      <c r="H676" s="3"/>
      <c r="I676" s="3"/>
      <c r="J676" s="3"/>
      <c r="K676" s="3"/>
      <c r="L676" s="3"/>
      <c r="M676" s="3"/>
      <c r="N676" s="3"/>
      <c r="O676" s="3"/>
      <c r="P676" s="3"/>
      <c r="Q676" s="3"/>
      <c r="R676" s="3"/>
      <c r="S676" s="3"/>
      <c r="T676" s="3"/>
      <c r="U676" s="3"/>
      <c r="V676" s="3"/>
      <c r="W676" s="3"/>
      <c r="X676" s="3"/>
      <c r="Y676" s="3"/>
      <c r="Z676" s="3"/>
    </row>
    <row r="677" ht="15.75" customHeight="1">
      <c r="A677" s="3"/>
      <c r="B677" s="3"/>
      <c r="C677" s="7"/>
      <c r="D677" s="3"/>
      <c r="E677" s="3"/>
      <c r="F677" s="7"/>
      <c r="G677" s="4"/>
      <c r="H677" s="3"/>
      <c r="I677" s="3"/>
      <c r="J677" s="3"/>
      <c r="K677" s="3"/>
      <c r="L677" s="3"/>
      <c r="M677" s="3"/>
      <c r="N677" s="3"/>
      <c r="O677" s="3"/>
      <c r="P677" s="3"/>
      <c r="Q677" s="3"/>
      <c r="R677" s="3"/>
      <c r="S677" s="3"/>
      <c r="T677" s="3"/>
      <c r="U677" s="3"/>
      <c r="V677" s="3"/>
      <c r="W677" s="3"/>
      <c r="X677" s="3"/>
      <c r="Y677" s="3"/>
      <c r="Z677" s="3"/>
    </row>
    <row r="678" ht="15.75" customHeight="1">
      <c r="A678" s="3"/>
      <c r="B678" s="3"/>
      <c r="C678" s="7"/>
      <c r="D678" s="3"/>
      <c r="E678" s="3"/>
      <c r="F678" s="7"/>
      <c r="G678" s="4"/>
      <c r="H678" s="3"/>
      <c r="I678" s="3"/>
      <c r="J678" s="3"/>
      <c r="K678" s="3"/>
      <c r="L678" s="3"/>
      <c r="M678" s="3"/>
      <c r="N678" s="3"/>
      <c r="O678" s="3"/>
      <c r="P678" s="3"/>
      <c r="Q678" s="3"/>
      <c r="R678" s="3"/>
      <c r="S678" s="3"/>
      <c r="T678" s="3"/>
      <c r="U678" s="3"/>
      <c r="V678" s="3"/>
      <c r="W678" s="3"/>
      <c r="X678" s="3"/>
      <c r="Y678" s="3"/>
      <c r="Z678" s="3"/>
    </row>
    <row r="679" ht="15.75" customHeight="1">
      <c r="A679" s="3"/>
      <c r="B679" s="3"/>
      <c r="C679" s="7"/>
      <c r="D679" s="3"/>
      <c r="E679" s="3"/>
      <c r="F679" s="7"/>
      <c r="G679" s="4"/>
      <c r="H679" s="3"/>
      <c r="I679" s="3"/>
      <c r="J679" s="3"/>
      <c r="K679" s="3"/>
      <c r="L679" s="3"/>
      <c r="M679" s="3"/>
      <c r="N679" s="3"/>
      <c r="O679" s="3"/>
      <c r="P679" s="3"/>
      <c r="Q679" s="3"/>
      <c r="R679" s="3"/>
      <c r="S679" s="3"/>
      <c r="T679" s="3"/>
      <c r="U679" s="3"/>
      <c r="V679" s="3"/>
      <c r="W679" s="3"/>
      <c r="X679" s="3"/>
      <c r="Y679" s="3"/>
      <c r="Z679" s="3"/>
    </row>
    <row r="680" ht="15.75" customHeight="1">
      <c r="A680" s="3"/>
      <c r="B680" s="3"/>
      <c r="C680" s="7"/>
      <c r="D680" s="3"/>
      <c r="E680" s="3"/>
      <c r="F680" s="7"/>
      <c r="G680" s="4"/>
      <c r="H680" s="3"/>
      <c r="I680" s="3"/>
      <c r="J680" s="3"/>
      <c r="K680" s="3"/>
      <c r="L680" s="3"/>
      <c r="M680" s="3"/>
      <c r="N680" s="3"/>
      <c r="O680" s="3"/>
      <c r="P680" s="3"/>
      <c r="Q680" s="3"/>
      <c r="R680" s="3"/>
      <c r="S680" s="3"/>
      <c r="T680" s="3"/>
      <c r="U680" s="3"/>
      <c r="V680" s="3"/>
      <c r="W680" s="3"/>
      <c r="X680" s="3"/>
      <c r="Y680" s="3"/>
      <c r="Z680" s="3"/>
    </row>
    <row r="681" ht="15.75" customHeight="1">
      <c r="A681" s="3"/>
      <c r="B681" s="3"/>
      <c r="C681" s="7"/>
      <c r="D681" s="3"/>
      <c r="E681" s="3"/>
      <c r="F681" s="7"/>
      <c r="G681" s="4"/>
      <c r="H681" s="3"/>
      <c r="I681" s="3"/>
      <c r="J681" s="3"/>
      <c r="K681" s="3"/>
      <c r="L681" s="3"/>
      <c r="M681" s="3"/>
      <c r="N681" s="3"/>
      <c r="O681" s="3"/>
      <c r="P681" s="3"/>
      <c r="Q681" s="3"/>
      <c r="R681" s="3"/>
      <c r="S681" s="3"/>
      <c r="T681" s="3"/>
      <c r="U681" s="3"/>
      <c r="V681" s="3"/>
      <c r="W681" s="3"/>
      <c r="X681" s="3"/>
      <c r="Y681" s="3"/>
      <c r="Z681" s="3"/>
    </row>
    <row r="682" ht="15.75" customHeight="1">
      <c r="A682" s="3"/>
      <c r="B682" s="3"/>
      <c r="C682" s="7"/>
      <c r="D682" s="3"/>
      <c r="E682" s="3"/>
      <c r="F682" s="7"/>
      <c r="G682" s="4"/>
      <c r="H682" s="3"/>
      <c r="I682" s="3"/>
      <c r="J682" s="3"/>
      <c r="K682" s="3"/>
      <c r="L682" s="3"/>
      <c r="M682" s="3"/>
      <c r="N682" s="3"/>
      <c r="O682" s="3"/>
      <c r="P682" s="3"/>
      <c r="Q682" s="3"/>
      <c r="R682" s="3"/>
      <c r="S682" s="3"/>
      <c r="T682" s="3"/>
      <c r="U682" s="3"/>
      <c r="V682" s="3"/>
      <c r="W682" s="3"/>
      <c r="X682" s="3"/>
      <c r="Y682" s="3"/>
      <c r="Z682" s="3"/>
    </row>
    <row r="683" ht="15.75" customHeight="1">
      <c r="A683" s="3"/>
      <c r="B683" s="3"/>
      <c r="C683" s="7"/>
      <c r="D683" s="3"/>
      <c r="E683" s="3"/>
      <c r="F683" s="7"/>
      <c r="G683" s="4"/>
      <c r="H683" s="3"/>
      <c r="I683" s="3"/>
      <c r="J683" s="3"/>
      <c r="K683" s="3"/>
      <c r="L683" s="3"/>
      <c r="M683" s="3"/>
      <c r="N683" s="3"/>
      <c r="O683" s="3"/>
      <c r="P683" s="3"/>
      <c r="Q683" s="3"/>
      <c r="R683" s="3"/>
      <c r="S683" s="3"/>
      <c r="T683" s="3"/>
      <c r="U683" s="3"/>
      <c r="V683" s="3"/>
      <c r="W683" s="3"/>
      <c r="X683" s="3"/>
      <c r="Y683" s="3"/>
      <c r="Z683" s="3"/>
    </row>
    <row r="684" ht="15.75" customHeight="1">
      <c r="A684" s="3"/>
      <c r="B684" s="3"/>
      <c r="C684" s="7"/>
      <c r="D684" s="3"/>
      <c r="E684" s="3"/>
      <c r="F684" s="7"/>
      <c r="G684" s="4"/>
      <c r="H684" s="3"/>
      <c r="I684" s="3"/>
      <c r="J684" s="3"/>
      <c r="K684" s="3"/>
      <c r="L684" s="3"/>
      <c r="M684" s="3"/>
      <c r="N684" s="3"/>
      <c r="O684" s="3"/>
      <c r="P684" s="3"/>
      <c r="Q684" s="3"/>
      <c r="R684" s="3"/>
      <c r="S684" s="3"/>
      <c r="T684" s="3"/>
      <c r="U684" s="3"/>
      <c r="V684" s="3"/>
      <c r="W684" s="3"/>
      <c r="X684" s="3"/>
      <c r="Y684" s="3"/>
      <c r="Z684" s="3"/>
    </row>
    <row r="685" ht="15.75" customHeight="1">
      <c r="A685" s="3"/>
      <c r="B685" s="3"/>
      <c r="C685" s="7"/>
      <c r="D685" s="3"/>
      <c r="E685" s="3"/>
      <c r="F685" s="7"/>
      <c r="G685" s="4"/>
      <c r="H685" s="3"/>
      <c r="I685" s="3"/>
      <c r="J685" s="3"/>
      <c r="K685" s="3"/>
      <c r="L685" s="3"/>
      <c r="M685" s="3"/>
      <c r="N685" s="3"/>
      <c r="O685" s="3"/>
      <c r="P685" s="3"/>
      <c r="Q685" s="3"/>
      <c r="R685" s="3"/>
      <c r="S685" s="3"/>
      <c r="T685" s="3"/>
      <c r="U685" s="3"/>
      <c r="V685" s="3"/>
      <c r="W685" s="3"/>
      <c r="X685" s="3"/>
      <c r="Y685" s="3"/>
      <c r="Z685" s="3"/>
    </row>
    <row r="686" ht="15.75" customHeight="1">
      <c r="A686" s="3"/>
      <c r="B686" s="3"/>
      <c r="C686" s="7"/>
      <c r="D686" s="3"/>
      <c r="E686" s="3"/>
      <c r="F686" s="7"/>
      <c r="G686" s="4"/>
      <c r="H686" s="3"/>
      <c r="I686" s="3"/>
      <c r="J686" s="3"/>
      <c r="K686" s="3"/>
      <c r="L686" s="3"/>
      <c r="M686" s="3"/>
      <c r="N686" s="3"/>
      <c r="O686" s="3"/>
      <c r="P686" s="3"/>
      <c r="Q686" s="3"/>
      <c r="R686" s="3"/>
      <c r="S686" s="3"/>
      <c r="T686" s="3"/>
      <c r="U686" s="3"/>
      <c r="V686" s="3"/>
      <c r="W686" s="3"/>
      <c r="X686" s="3"/>
      <c r="Y686" s="3"/>
      <c r="Z686" s="3"/>
    </row>
    <row r="687" ht="15.75" customHeight="1">
      <c r="A687" s="3"/>
      <c r="B687" s="3"/>
      <c r="C687" s="7"/>
      <c r="D687" s="3"/>
      <c r="E687" s="3"/>
      <c r="F687" s="7"/>
      <c r="G687" s="4"/>
      <c r="H687" s="3"/>
      <c r="I687" s="3"/>
      <c r="J687" s="3"/>
      <c r="K687" s="3"/>
      <c r="L687" s="3"/>
      <c r="M687" s="3"/>
      <c r="N687" s="3"/>
      <c r="O687" s="3"/>
      <c r="P687" s="3"/>
      <c r="Q687" s="3"/>
      <c r="R687" s="3"/>
      <c r="S687" s="3"/>
      <c r="T687" s="3"/>
      <c r="U687" s="3"/>
      <c r="V687" s="3"/>
      <c r="W687" s="3"/>
      <c r="X687" s="3"/>
      <c r="Y687" s="3"/>
      <c r="Z687" s="3"/>
    </row>
    <row r="688" ht="15.75" customHeight="1">
      <c r="A688" s="3"/>
      <c r="B688" s="3"/>
      <c r="C688" s="7"/>
      <c r="D688" s="3"/>
      <c r="E688" s="3"/>
      <c r="F688" s="7"/>
      <c r="G688" s="4"/>
      <c r="H688" s="3"/>
      <c r="I688" s="3"/>
      <c r="J688" s="3"/>
      <c r="K688" s="3"/>
      <c r="L688" s="3"/>
      <c r="M688" s="3"/>
      <c r="N688" s="3"/>
      <c r="O688" s="3"/>
      <c r="P688" s="3"/>
      <c r="Q688" s="3"/>
      <c r="R688" s="3"/>
      <c r="S688" s="3"/>
      <c r="T688" s="3"/>
      <c r="U688" s="3"/>
      <c r="V688" s="3"/>
      <c r="W688" s="3"/>
      <c r="X688" s="3"/>
      <c r="Y688" s="3"/>
      <c r="Z688" s="3"/>
    </row>
    <row r="689" ht="15.75" customHeight="1">
      <c r="A689" s="3"/>
      <c r="B689" s="3"/>
      <c r="C689" s="7"/>
      <c r="D689" s="3"/>
      <c r="E689" s="3"/>
      <c r="F689" s="7"/>
      <c r="G689" s="4"/>
      <c r="H689" s="3"/>
      <c r="I689" s="3"/>
      <c r="J689" s="3"/>
      <c r="K689" s="3"/>
      <c r="L689" s="3"/>
      <c r="M689" s="3"/>
      <c r="N689" s="3"/>
      <c r="O689" s="3"/>
      <c r="P689" s="3"/>
      <c r="Q689" s="3"/>
      <c r="R689" s="3"/>
      <c r="S689" s="3"/>
      <c r="T689" s="3"/>
      <c r="U689" s="3"/>
      <c r="V689" s="3"/>
      <c r="W689" s="3"/>
      <c r="X689" s="3"/>
      <c r="Y689" s="3"/>
      <c r="Z689" s="3"/>
    </row>
    <row r="690" ht="15.75" customHeight="1">
      <c r="A690" s="3"/>
      <c r="B690" s="3"/>
      <c r="C690" s="7"/>
      <c r="D690" s="3"/>
      <c r="E690" s="3"/>
      <c r="F690" s="7"/>
      <c r="G690" s="4"/>
      <c r="H690" s="3"/>
      <c r="I690" s="3"/>
      <c r="J690" s="3"/>
      <c r="K690" s="3"/>
      <c r="L690" s="3"/>
      <c r="M690" s="3"/>
      <c r="N690" s="3"/>
      <c r="O690" s="3"/>
      <c r="P690" s="3"/>
      <c r="Q690" s="3"/>
      <c r="R690" s="3"/>
      <c r="S690" s="3"/>
      <c r="T690" s="3"/>
      <c r="U690" s="3"/>
      <c r="V690" s="3"/>
      <c r="W690" s="3"/>
      <c r="X690" s="3"/>
      <c r="Y690" s="3"/>
      <c r="Z690" s="3"/>
    </row>
    <row r="691" ht="15.75" customHeight="1">
      <c r="A691" s="3"/>
      <c r="B691" s="3"/>
      <c r="C691" s="7"/>
      <c r="D691" s="3"/>
      <c r="E691" s="3"/>
      <c r="F691" s="7"/>
      <c r="G691" s="4"/>
      <c r="H691" s="3"/>
      <c r="I691" s="3"/>
      <c r="J691" s="3"/>
      <c r="K691" s="3"/>
      <c r="L691" s="3"/>
      <c r="M691" s="3"/>
      <c r="N691" s="3"/>
      <c r="O691" s="3"/>
      <c r="P691" s="3"/>
      <c r="Q691" s="3"/>
      <c r="R691" s="3"/>
      <c r="S691" s="3"/>
      <c r="T691" s="3"/>
      <c r="U691" s="3"/>
      <c r="V691" s="3"/>
      <c r="W691" s="3"/>
      <c r="X691" s="3"/>
      <c r="Y691" s="3"/>
      <c r="Z691" s="3"/>
    </row>
    <row r="692" ht="15.75" customHeight="1">
      <c r="A692" s="3"/>
      <c r="B692" s="3"/>
      <c r="C692" s="7"/>
      <c r="D692" s="3"/>
      <c r="E692" s="3"/>
      <c r="F692" s="7"/>
      <c r="G692" s="4"/>
      <c r="H692" s="3"/>
      <c r="I692" s="3"/>
      <c r="J692" s="3"/>
      <c r="K692" s="3"/>
      <c r="L692" s="3"/>
      <c r="M692" s="3"/>
      <c r="N692" s="3"/>
      <c r="O692" s="3"/>
      <c r="P692" s="3"/>
      <c r="Q692" s="3"/>
      <c r="R692" s="3"/>
      <c r="S692" s="3"/>
      <c r="T692" s="3"/>
      <c r="U692" s="3"/>
      <c r="V692" s="3"/>
      <c r="W692" s="3"/>
      <c r="X692" s="3"/>
      <c r="Y692" s="3"/>
      <c r="Z692" s="3"/>
    </row>
    <row r="693" ht="15.75" customHeight="1">
      <c r="A693" s="3"/>
      <c r="B693" s="3"/>
      <c r="C693" s="7"/>
      <c r="D693" s="3"/>
      <c r="E693" s="3"/>
      <c r="F693" s="7"/>
      <c r="G693" s="4"/>
      <c r="H693" s="3"/>
      <c r="I693" s="3"/>
      <c r="J693" s="3"/>
      <c r="K693" s="3"/>
      <c r="L693" s="3"/>
      <c r="M693" s="3"/>
      <c r="N693" s="3"/>
      <c r="O693" s="3"/>
      <c r="P693" s="3"/>
      <c r="Q693" s="3"/>
      <c r="R693" s="3"/>
      <c r="S693" s="3"/>
      <c r="T693" s="3"/>
      <c r="U693" s="3"/>
      <c r="V693" s="3"/>
      <c r="W693" s="3"/>
      <c r="X693" s="3"/>
      <c r="Y693" s="3"/>
      <c r="Z693" s="3"/>
    </row>
    <row r="694" ht="15.75" customHeight="1">
      <c r="A694" s="3"/>
      <c r="B694" s="3"/>
      <c r="C694" s="7"/>
      <c r="D694" s="3"/>
      <c r="E694" s="3"/>
      <c r="F694" s="7"/>
      <c r="G694" s="4"/>
      <c r="H694" s="3"/>
      <c r="I694" s="3"/>
      <c r="J694" s="3"/>
      <c r="K694" s="3"/>
      <c r="L694" s="3"/>
      <c r="M694" s="3"/>
      <c r="N694" s="3"/>
      <c r="O694" s="3"/>
      <c r="P694" s="3"/>
      <c r="Q694" s="3"/>
      <c r="R694" s="3"/>
      <c r="S694" s="3"/>
      <c r="T694" s="3"/>
      <c r="U694" s="3"/>
      <c r="V694" s="3"/>
      <c r="W694" s="3"/>
      <c r="X694" s="3"/>
      <c r="Y694" s="3"/>
      <c r="Z694" s="3"/>
    </row>
    <row r="695" ht="15.75" customHeight="1">
      <c r="A695" s="3"/>
      <c r="B695" s="3"/>
      <c r="C695" s="7"/>
      <c r="D695" s="3"/>
      <c r="E695" s="3"/>
      <c r="F695" s="7"/>
      <c r="G695" s="4"/>
      <c r="H695" s="3"/>
      <c r="I695" s="3"/>
      <c r="J695" s="3"/>
      <c r="K695" s="3"/>
      <c r="L695" s="3"/>
      <c r="M695" s="3"/>
      <c r="N695" s="3"/>
      <c r="O695" s="3"/>
      <c r="P695" s="3"/>
      <c r="Q695" s="3"/>
      <c r="R695" s="3"/>
      <c r="S695" s="3"/>
      <c r="T695" s="3"/>
      <c r="U695" s="3"/>
      <c r="V695" s="3"/>
      <c r="W695" s="3"/>
      <c r="X695" s="3"/>
      <c r="Y695" s="3"/>
      <c r="Z695" s="3"/>
    </row>
    <row r="696" ht="15.75" customHeight="1">
      <c r="A696" s="3"/>
      <c r="B696" s="3"/>
      <c r="C696" s="7"/>
      <c r="D696" s="3"/>
      <c r="E696" s="3"/>
      <c r="F696" s="7"/>
      <c r="G696" s="4"/>
      <c r="H696" s="3"/>
      <c r="I696" s="3"/>
      <c r="J696" s="3"/>
      <c r="K696" s="3"/>
      <c r="L696" s="3"/>
      <c r="M696" s="3"/>
      <c r="N696" s="3"/>
      <c r="O696" s="3"/>
      <c r="P696" s="3"/>
      <c r="Q696" s="3"/>
      <c r="R696" s="3"/>
      <c r="S696" s="3"/>
      <c r="T696" s="3"/>
      <c r="U696" s="3"/>
      <c r="V696" s="3"/>
      <c r="W696" s="3"/>
      <c r="X696" s="3"/>
      <c r="Y696" s="3"/>
      <c r="Z696" s="3"/>
    </row>
    <row r="697" ht="15.75" customHeight="1">
      <c r="A697" s="3"/>
      <c r="B697" s="3"/>
      <c r="C697" s="7"/>
      <c r="D697" s="3"/>
      <c r="E697" s="3"/>
      <c r="F697" s="7"/>
      <c r="G697" s="4"/>
      <c r="H697" s="3"/>
      <c r="I697" s="3"/>
      <c r="J697" s="3"/>
      <c r="K697" s="3"/>
      <c r="L697" s="3"/>
      <c r="M697" s="3"/>
      <c r="N697" s="3"/>
      <c r="O697" s="3"/>
      <c r="P697" s="3"/>
      <c r="Q697" s="3"/>
      <c r="R697" s="3"/>
      <c r="S697" s="3"/>
      <c r="T697" s="3"/>
      <c r="U697" s="3"/>
      <c r="V697" s="3"/>
      <c r="W697" s="3"/>
      <c r="X697" s="3"/>
      <c r="Y697" s="3"/>
      <c r="Z697" s="3"/>
    </row>
    <row r="698" ht="15.75" customHeight="1">
      <c r="A698" s="3"/>
      <c r="B698" s="3"/>
      <c r="C698" s="7"/>
      <c r="D698" s="3"/>
      <c r="E698" s="3"/>
      <c r="F698" s="7"/>
      <c r="G698" s="4"/>
      <c r="H698" s="3"/>
      <c r="I698" s="3"/>
      <c r="J698" s="3"/>
      <c r="K698" s="3"/>
      <c r="L698" s="3"/>
      <c r="M698" s="3"/>
      <c r="N698" s="3"/>
      <c r="O698" s="3"/>
      <c r="P698" s="3"/>
      <c r="Q698" s="3"/>
      <c r="R698" s="3"/>
      <c r="S698" s="3"/>
      <c r="T698" s="3"/>
      <c r="U698" s="3"/>
      <c r="V698" s="3"/>
      <c r="W698" s="3"/>
      <c r="X698" s="3"/>
      <c r="Y698" s="3"/>
      <c r="Z698" s="3"/>
    </row>
    <row r="699" ht="15.75" customHeight="1">
      <c r="A699" s="3"/>
      <c r="B699" s="3"/>
      <c r="C699" s="7"/>
      <c r="D699" s="3"/>
      <c r="E699" s="3"/>
      <c r="F699" s="7"/>
      <c r="G699" s="4"/>
      <c r="H699" s="3"/>
      <c r="I699" s="3"/>
      <c r="J699" s="3"/>
      <c r="K699" s="3"/>
      <c r="L699" s="3"/>
      <c r="M699" s="3"/>
      <c r="N699" s="3"/>
      <c r="O699" s="3"/>
      <c r="P699" s="3"/>
      <c r="Q699" s="3"/>
      <c r="R699" s="3"/>
      <c r="S699" s="3"/>
      <c r="T699" s="3"/>
      <c r="U699" s="3"/>
      <c r="V699" s="3"/>
      <c r="W699" s="3"/>
      <c r="X699" s="3"/>
      <c r="Y699" s="3"/>
      <c r="Z699" s="3"/>
    </row>
    <row r="700" ht="15.75" customHeight="1">
      <c r="A700" s="3"/>
      <c r="B700" s="3"/>
      <c r="C700" s="7"/>
      <c r="D700" s="3"/>
      <c r="E700" s="3"/>
      <c r="F700" s="7"/>
      <c r="G700" s="4"/>
      <c r="H700" s="3"/>
      <c r="I700" s="3"/>
      <c r="J700" s="3"/>
      <c r="K700" s="3"/>
      <c r="L700" s="3"/>
      <c r="M700" s="3"/>
      <c r="N700" s="3"/>
      <c r="O700" s="3"/>
      <c r="P700" s="3"/>
      <c r="Q700" s="3"/>
      <c r="R700" s="3"/>
      <c r="S700" s="3"/>
      <c r="T700" s="3"/>
      <c r="U700" s="3"/>
      <c r="V700" s="3"/>
      <c r="W700" s="3"/>
      <c r="X700" s="3"/>
      <c r="Y700" s="3"/>
      <c r="Z700" s="3"/>
    </row>
    <row r="701" ht="15.75" customHeight="1">
      <c r="A701" s="3"/>
      <c r="B701" s="3"/>
      <c r="C701" s="7"/>
      <c r="D701" s="3"/>
      <c r="E701" s="3"/>
      <c r="F701" s="7"/>
      <c r="G701" s="4"/>
      <c r="H701" s="3"/>
      <c r="I701" s="3"/>
      <c r="J701" s="3"/>
      <c r="K701" s="3"/>
      <c r="L701" s="3"/>
      <c r="M701" s="3"/>
      <c r="N701" s="3"/>
      <c r="O701" s="3"/>
      <c r="P701" s="3"/>
      <c r="Q701" s="3"/>
      <c r="R701" s="3"/>
      <c r="S701" s="3"/>
      <c r="T701" s="3"/>
      <c r="U701" s="3"/>
      <c r="V701" s="3"/>
      <c r="W701" s="3"/>
      <c r="X701" s="3"/>
      <c r="Y701" s="3"/>
      <c r="Z701" s="3"/>
    </row>
    <row r="702" ht="15.75" customHeight="1">
      <c r="A702" s="3"/>
      <c r="B702" s="3"/>
      <c r="C702" s="7"/>
      <c r="D702" s="3"/>
      <c r="E702" s="3"/>
      <c r="F702" s="7"/>
      <c r="G702" s="4"/>
      <c r="H702" s="3"/>
      <c r="I702" s="3"/>
      <c r="J702" s="3"/>
      <c r="K702" s="3"/>
      <c r="L702" s="3"/>
      <c r="M702" s="3"/>
      <c r="N702" s="3"/>
      <c r="O702" s="3"/>
      <c r="P702" s="3"/>
      <c r="Q702" s="3"/>
      <c r="R702" s="3"/>
      <c r="S702" s="3"/>
      <c r="T702" s="3"/>
      <c r="U702" s="3"/>
      <c r="V702" s="3"/>
      <c r="W702" s="3"/>
      <c r="X702" s="3"/>
      <c r="Y702" s="3"/>
      <c r="Z702" s="3"/>
    </row>
    <row r="703" ht="15.75" customHeight="1">
      <c r="A703" s="3"/>
      <c r="B703" s="3"/>
      <c r="C703" s="7"/>
      <c r="D703" s="3"/>
      <c r="E703" s="3"/>
      <c r="F703" s="7"/>
      <c r="G703" s="4"/>
      <c r="H703" s="3"/>
      <c r="I703" s="3"/>
      <c r="J703" s="3"/>
      <c r="K703" s="3"/>
      <c r="L703" s="3"/>
      <c r="M703" s="3"/>
      <c r="N703" s="3"/>
      <c r="O703" s="3"/>
      <c r="P703" s="3"/>
      <c r="Q703" s="3"/>
      <c r="R703" s="3"/>
      <c r="S703" s="3"/>
      <c r="T703" s="3"/>
      <c r="U703" s="3"/>
      <c r="V703" s="3"/>
      <c r="W703" s="3"/>
      <c r="X703" s="3"/>
      <c r="Y703" s="3"/>
      <c r="Z703" s="3"/>
    </row>
    <row r="704" ht="15.75" customHeight="1">
      <c r="A704" s="3"/>
      <c r="B704" s="3"/>
      <c r="C704" s="7"/>
      <c r="D704" s="3"/>
      <c r="E704" s="3"/>
      <c r="F704" s="7"/>
      <c r="G704" s="4"/>
      <c r="H704" s="3"/>
      <c r="I704" s="3"/>
      <c r="J704" s="3"/>
      <c r="K704" s="3"/>
      <c r="L704" s="3"/>
      <c r="M704" s="3"/>
      <c r="N704" s="3"/>
      <c r="O704" s="3"/>
      <c r="P704" s="3"/>
      <c r="Q704" s="3"/>
      <c r="R704" s="3"/>
      <c r="S704" s="3"/>
      <c r="T704" s="3"/>
      <c r="U704" s="3"/>
      <c r="V704" s="3"/>
      <c r="W704" s="3"/>
      <c r="X704" s="3"/>
      <c r="Y704" s="3"/>
      <c r="Z704" s="3"/>
    </row>
    <row r="705" ht="15.75" customHeight="1">
      <c r="A705" s="3"/>
      <c r="B705" s="3"/>
      <c r="C705" s="7"/>
      <c r="D705" s="3"/>
      <c r="E705" s="3"/>
      <c r="F705" s="7"/>
      <c r="G705" s="4"/>
      <c r="H705" s="3"/>
      <c r="I705" s="3"/>
      <c r="J705" s="3"/>
      <c r="K705" s="3"/>
      <c r="L705" s="3"/>
      <c r="M705" s="3"/>
      <c r="N705" s="3"/>
      <c r="O705" s="3"/>
      <c r="P705" s="3"/>
      <c r="Q705" s="3"/>
      <c r="R705" s="3"/>
      <c r="S705" s="3"/>
      <c r="T705" s="3"/>
      <c r="U705" s="3"/>
      <c r="V705" s="3"/>
      <c r="W705" s="3"/>
      <c r="X705" s="3"/>
      <c r="Y705" s="3"/>
      <c r="Z705" s="3"/>
    </row>
    <row r="706" ht="15.75" customHeight="1">
      <c r="A706" s="3"/>
      <c r="B706" s="3"/>
      <c r="C706" s="7"/>
      <c r="D706" s="3"/>
      <c r="E706" s="3"/>
      <c r="F706" s="7"/>
      <c r="G706" s="4"/>
      <c r="H706" s="3"/>
      <c r="I706" s="3"/>
      <c r="J706" s="3"/>
      <c r="K706" s="3"/>
      <c r="L706" s="3"/>
      <c r="M706" s="3"/>
      <c r="N706" s="3"/>
      <c r="O706" s="3"/>
      <c r="P706" s="3"/>
      <c r="Q706" s="3"/>
      <c r="R706" s="3"/>
      <c r="S706" s="3"/>
      <c r="T706" s="3"/>
      <c r="U706" s="3"/>
      <c r="V706" s="3"/>
      <c r="W706" s="3"/>
      <c r="X706" s="3"/>
      <c r="Y706" s="3"/>
      <c r="Z706" s="3"/>
    </row>
    <row r="707" ht="15.75" customHeight="1">
      <c r="A707" s="3"/>
      <c r="B707" s="3"/>
      <c r="C707" s="7"/>
      <c r="D707" s="3"/>
      <c r="E707" s="3"/>
      <c r="F707" s="7"/>
      <c r="G707" s="4"/>
      <c r="H707" s="3"/>
      <c r="I707" s="3"/>
      <c r="J707" s="3"/>
      <c r="K707" s="3"/>
      <c r="L707" s="3"/>
      <c r="M707" s="3"/>
      <c r="N707" s="3"/>
      <c r="O707" s="3"/>
      <c r="P707" s="3"/>
      <c r="Q707" s="3"/>
      <c r="R707" s="3"/>
      <c r="S707" s="3"/>
      <c r="T707" s="3"/>
      <c r="U707" s="3"/>
      <c r="V707" s="3"/>
      <c r="W707" s="3"/>
      <c r="X707" s="3"/>
      <c r="Y707" s="3"/>
      <c r="Z707" s="3"/>
    </row>
    <row r="708" ht="15.75" customHeight="1">
      <c r="A708" s="3"/>
      <c r="B708" s="3"/>
      <c r="C708" s="7"/>
      <c r="D708" s="3"/>
      <c r="E708" s="3"/>
      <c r="F708" s="7"/>
      <c r="G708" s="4"/>
      <c r="H708" s="3"/>
      <c r="I708" s="3"/>
      <c r="J708" s="3"/>
      <c r="K708" s="3"/>
      <c r="L708" s="3"/>
      <c r="M708" s="3"/>
      <c r="N708" s="3"/>
      <c r="O708" s="3"/>
      <c r="P708" s="3"/>
      <c r="Q708" s="3"/>
      <c r="R708" s="3"/>
      <c r="S708" s="3"/>
      <c r="T708" s="3"/>
      <c r="U708" s="3"/>
      <c r="V708" s="3"/>
      <c r="W708" s="3"/>
      <c r="X708" s="3"/>
      <c r="Y708" s="3"/>
      <c r="Z708" s="3"/>
    </row>
    <row r="709" ht="15.75" customHeight="1">
      <c r="A709" s="3"/>
      <c r="B709" s="3"/>
      <c r="C709" s="7"/>
      <c r="D709" s="3"/>
      <c r="E709" s="3"/>
      <c r="F709" s="7"/>
      <c r="G709" s="4"/>
      <c r="H709" s="3"/>
      <c r="I709" s="3"/>
      <c r="J709" s="3"/>
      <c r="K709" s="3"/>
      <c r="L709" s="3"/>
      <c r="M709" s="3"/>
      <c r="N709" s="3"/>
      <c r="O709" s="3"/>
      <c r="P709" s="3"/>
      <c r="Q709" s="3"/>
      <c r="R709" s="3"/>
      <c r="S709" s="3"/>
      <c r="T709" s="3"/>
      <c r="U709" s="3"/>
      <c r="V709" s="3"/>
      <c r="W709" s="3"/>
      <c r="X709" s="3"/>
      <c r="Y709" s="3"/>
      <c r="Z709" s="3"/>
    </row>
    <row r="710" ht="15.75" customHeight="1">
      <c r="A710" s="3"/>
      <c r="B710" s="3"/>
      <c r="C710" s="7"/>
      <c r="D710" s="3"/>
      <c r="E710" s="3"/>
      <c r="F710" s="7"/>
      <c r="G710" s="4"/>
      <c r="H710" s="3"/>
      <c r="I710" s="3"/>
      <c r="J710" s="3"/>
      <c r="K710" s="3"/>
      <c r="L710" s="3"/>
      <c r="M710" s="3"/>
      <c r="N710" s="3"/>
      <c r="O710" s="3"/>
      <c r="P710" s="3"/>
      <c r="Q710" s="3"/>
      <c r="R710" s="3"/>
      <c r="S710" s="3"/>
      <c r="T710" s="3"/>
      <c r="U710" s="3"/>
      <c r="V710" s="3"/>
      <c r="W710" s="3"/>
      <c r="X710" s="3"/>
      <c r="Y710" s="3"/>
      <c r="Z710" s="3"/>
    </row>
    <row r="711" ht="15.75" customHeight="1">
      <c r="A711" s="3"/>
      <c r="B711" s="3"/>
      <c r="C711" s="7"/>
      <c r="D711" s="3"/>
      <c r="E711" s="3"/>
      <c r="F711" s="7"/>
      <c r="G711" s="4"/>
      <c r="H711" s="3"/>
      <c r="I711" s="3"/>
      <c r="J711" s="3"/>
      <c r="K711" s="3"/>
      <c r="L711" s="3"/>
      <c r="M711" s="3"/>
      <c r="N711" s="3"/>
      <c r="O711" s="3"/>
      <c r="P711" s="3"/>
      <c r="Q711" s="3"/>
      <c r="R711" s="3"/>
      <c r="S711" s="3"/>
      <c r="T711" s="3"/>
      <c r="U711" s="3"/>
      <c r="V711" s="3"/>
      <c r="W711" s="3"/>
      <c r="X711" s="3"/>
      <c r="Y711" s="3"/>
      <c r="Z711" s="3"/>
    </row>
    <row r="712" ht="15.75" customHeight="1">
      <c r="A712" s="3"/>
      <c r="B712" s="3"/>
      <c r="C712" s="7"/>
      <c r="D712" s="3"/>
      <c r="E712" s="3"/>
      <c r="F712" s="7"/>
      <c r="G712" s="4"/>
      <c r="H712" s="3"/>
      <c r="I712" s="3"/>
      <c r="J712" s="3"/>
      <c r="K712" s="3"/>
      <c r="L712" s="3"/>
      <c r="M712" s="3"/>
      <c r="N712" s="3"/>
      <c r="O712" s="3"/>
      <c r="P712" s="3"/>
      <c r="Q712" s="3"/>
      <c r="R712" s="3"/>
      <c r="S712" s="3"/>
      <c r="T712" s="3"/>
      <c r="U712" s="3"/>
      <c r="V712" s="3"/>
      <c r="W712" s="3"/>
      <c r="X712" s="3"/>
      <c r="Y712" s="3"/>
      <c r="Z712" s="3"/>
    </row>
    <row r="713" ht="15.75" customHeight="1">
      <c r="A713" s="3"/>
      <c r="B713" s="3"/>
      <c r="C713" s="7"/>
      <c r="D713" s="3"/>
      <c r="E713" s="3"/>
      <c r="F713" s="7"/>
      <c r="G713" s="4"/>
      <c r="H713" s="3"/>
      <c r="I713" s="3"/>
      <c r="J713" s="3"/>
      <c r="K713" s="3"/>
      <c r="L713" s="3"/>
      <c r="M713" s="3"/>
      <c r="N713" s="3"/>
      <c r="O713" s="3"/>
      <c r="P713" s="3"/>
      <c r="Q713" s="3"/>
      <c r="R713" s="3"/>
      <c r="S713" s="3"/>
      <c r="T713" s="3"/>
      <c r="U713" s="3"/>
      <c r="V713" s="3"/>
      <c r="W713" s="3"/>
      <c r="X713" s="3"/>
      <c r="Y713" s="3"/>
      <c r="Z713" s="3"/>
    </row>
    <row r="714" ht="15.75" customHeight="1">
      <c r="A714" s="3"/>
      <c r="B714" s="3"/>
      <c r="C714" s="7"/>
      <c r="D714" s="3"/>
      <c r="E714" s="3"/>
      <c r="F714" s="7"/>
      <c r="G714" s="4"/>
      <c r="H714" s="3"/>
      <c r="I714" s="3"/>
      <c r="J714" s="3"/>
      <c r="K714" s="3"/>
      <c r="L714" s="3"/>
      <c r="M714" s="3"/>
      <c r="N714" s="3"/>
      <c r="O714" s="3"/>
      <c r="P714" s="3"/>
      <c r="Q714" s="3"/>
      <c r="R714" s="3"/>
      <c r="S714" s="3"/>
      <c r="T714" s="3"/>
      <c r="U714" s="3"/>
      <c r="V714" s="3"/>
      <c r="W714" s="3"/>
      <c r="X714" s="3"/>
      <c r="Y714" s="3"/>
      <c r="Z714" s="3"/>
    </row>
    <row r="715" ht="15.75" customHeight="1">
      <c r="A715" s="3"/>
      <c r="B715" s="3"/>
      <c r="C715" s="7"/>
      <c r="D715" s="3"/>
      <c r="E715" s="3"/>
      <c r="F715" s="7"/>
      <c r="G715" s="4"/>
      <c r="H715" s="3"/>
      <c r="I715" s="3"/>
      <c r="J715" s="3"/>
      <c r="K715" s="3"/>
      <c r="L715" s="3"/>
      <c r="M715" s="3"/>
      <c r="N715" s="3"/>
      <c r="O715" s="3"/>
      <c r="P715" s="3"/>
      <c r="Q715" s="3"/>
      <c r="R715" s="3"/>
      <c r="S715" s="3"/>
      <c r="T715" s="3"/>
      <c r="U715" s="3"/>
      <c r="V715" s="3"/>
      <c r="W715" s="3"/>
      <c r="X715" s="3"/>
      <c r="Y715" s="3"/>
      <c r="Z715" s="3"/>
    </row>
    <row r="716" ht="15.75" customHeight="1">
      <c r="A716" s="3"/>
      <c r="B716" s="3"/>
      <c r="C716" s="7"/>
      <c r="D716" s="3"/>
      <c r="E716" s="3"/>
      <c r="F716" s="7"/>
      <c r="G716" s="4"/>
      <c r="H716" s="3"/>
      <c r="I716" s="3"/>
      <c r="J716" s="3"/>
      <c r="K716" s="3"/>
      <c r="L716" s="3"/>
      <c r="M716" s="3"/>
      <c r="N716" s="3"/>
      <c r="O716" s="3"/>
      <c r="P716" s="3"/>
      <c r="Q716" s="3"/>
      <c r="R716" s="3"/>
      <c r="S716" s="3"/>
      <c r="T716" s="3"/>
      <c r="U716" s="3"/>
      <c r="V716" s="3"/>
      <c r="W716" s="3"/>
      <c r="X716" s="3"/>
      <c r="Y716" s="3"/>
      <c r="Z716" s="3"/>
    </row>
    <row r="717" ht="15.75" customHeight="1">
      <c r="A717" s="3"/>
      <c r="B717" s="3"/>
      <c r="C717" s="7"/>
      <c r="D717" s="3"/>
      <c r="E717" s="3"/>
      <c r="F717" s="7"/>
      <c r="G717" s="4"/>
      <c r="H717" s="3"/>
      <c r="I717" s="3"/>
      <c r="J717" s="3"/>
      <c r="K717" s="3"/>
      <c r="L717" s="3"/>
      <c r="M717" s="3"/>
      <c r="N717" s="3"/>
      <c r="O717" s="3"/>
      <c r="P717" s="3"/>
      <c r="Q717" s="3"/>
      <c r="R717" s="3"/>
      <c r="S717" s="3"/>
      <c r="T717" s="3"/>
      <c r="U717" s="3"/>
      <c r="V717" s="3"/>
      <c r="W717" s="3"/>
      <c r="X717" s="3"/>
      <c r="Y717" s="3"/>
      <c r="Z717" s="3"/>
    </row>
    <row r="718" ht="15.75" customHeight="1">
      <c r="A718" s="3"/>
      <c r="B718" s="3"/>
      <c r="C718" s="7"/>
      <c r="D718" s="3"/>
      <c r="E718" s="3"/>
      <c r="F718" s="7"/>
      <c r="G718" s="4"/>
      <c r="H718" s="3"/>
      <c r="I718" s="3"/>
      <c r="J718" s="3"/>
      <c r="K718" s="3"/>
      <c r="L718" s="3"/>
      <c r="M718" s="3"/>
      <c r="N718" s="3"/>
      <c r="O718" s="3"/>
      <c r="P718" s="3"/>
      <c r="Q718" s="3"/>
      <c r="R718" s="3"/>
      <c r="S718" s="3"/>
      <c r="T718" s="3"/>
      <c r="U718" s="3"/>
      <c r="V718" s="3"/>
      <c r="W718" s="3"/>
      <c r="X718" s="3"/>
      <c r="Y718" s="3"/>
      <c r="Z718" s="3"/>
    </row>
    <row r="719" ht="15.75" customHeight="1">
      <c r="A719" s="3"/>
      <c r="B719" s="3"/>
      <c r="C719" s="7"/>
      <c r="D719" s="3"/>
      <c r="E719" s="3"/>
      <c r="F719" s="7"/>
      <c r="G719" s="4"/>
      <c r="H719" s="3"/>
      <c r="I719" s="3"/>
      <c r="J719" s="3"/>
      <c r="K719" s="3"/>
      <c r="L719" s="3"/>
      <c r="M719" s="3"/>
      <c r="N719" s="3"/>
      <c r="O719" s="3"/>
      <c r="P719" s="3"/>
      <c r="Q719" s="3"/>
      <c r="R719" s="3"/>
      <c r="S719" s="3"/>
      <c r="T719" s="3"/>
      <c r="U719" s="3"/>
      <c r="V719" s="3"/>
      <c r="W719" s="3"/>
      <c r="X719" s="3"/>
      <c r="Y719" s="3"/>
      <c r="Z719" s="3"/>
    </row>
    <row r="720" ht="15.75" customHeight="1">
      <c r="A720" s="3"/>
      <c r="B720" s="3"/>
      <c r="C720" s="7"/>
      <c r="D720" s="3"/>
      <c r="E720" s="3"/>
      <c r="F720" s="7"/>
      <c r="G720" s="4"/>
      <c r="H720" s="3"/>
      <c r="I720" s="3"/>
      <c r="J720" s="3"/>
      <c r="K720" s="3"/>
      <c r="L720" s="3"/>
      <c r="M720" s="3"/>
      <c r="N720" s="3"/>
      <c r="O720" s="3"/>
      <c r="P720" s="3"/>
      <c r="Q720" s="3"/>
      <c r="R720" s="3"/>
      <c r="S720" s="3"/>
      <c r="T720" s="3"/>
      <c r="U720" s="3"/>
      <c r="V720" s="3"/>
      <c r="W720" s="3"/>
      <c r="X720" s="3"/>
      <c r="Y720" s="3"/>
      <c r="Z720" s="3"/>
    </row>
    <row r="721" ht="15.75" customHeight="1">
      <c r="A721" s="3"/>
      <c r="B721" s="3"/>
      <c r="C721" s="7"/>
      <c r="D721" s="3"/>
      <c r="E721" s="3"/>
      <c r="F721" s="7"/>
      <c r="G721" s="4"/>
      <c r="H721" s="3"/>
      <c r="I721" s="3"/>
      <c r="J721" s="3"/>
      <c r="K721" s="3"/>
      <c r="L721" s="3"/>
      <c r="M721" s="3"/>
      <c r="N721" s="3"/>
      <c r="O721" s="3"/>
      <c r="P721" s="3"/>
      <c r="Q721" s="3"/>
      <c r="R721" s="3"/>
      <c r="S721" s="3"/>
      <c r="T721" s="3"/>
      <c r="U721" s="3"/>
      <c r="V721" s="3"/>
      <c r="W721" s="3"/>
      <c r="X721" s="3"/>
      <c r="Y721" s="3"/>
      <c r="Z721" s="3"/>
    </row>
    <row r="722" ht="15.75" customHeight="1">
      <c r="A722" s="3"/>
      <c r="B722" s="3"/>
      <c r="C722" s="7"/>
      <c r="D722" s="3"/>
      <c r="E722" s="3"/>
      <c r="F722" s="7"/>
      <c r="G722" s="4"/>
      <c r="H722" s="3"/>
      <c r="I722" s="3"/>
      <c r="J722" s="3"/>
      <c r="K722" s="3"/>
      <c r="L722" s="3"/>
      <c r="M722" s="3"/>
      <c r="N722" s="3"/>
      <c r="O722" s="3"/>
      <c r="P722" s="3"/>
      <c r="Q722" s="3"/>
      <c r="R722" s="3"/>
      <c r="S722" s="3"/>
      <c r="T722" s="3"/>
      <c r="U722" s="3"/>
      <c r="V722" s="3"/>
      <c r="W722" s="3"/>
      <c r="X722" s="3"/>
      <c r="Y722" s="3"/>
      <c r="Z722" s="3"/>
    </row>
    <row r="723" ht="15.75" customHeight="1">
      <c r="A723" s="3"/>
      <c r="B723" s="3"/>
      <c r="C723" s="7"/>
      <c r="D723" s="3"/>
      <c r="E723" s="3"/>
      <c r="F723" s="7"/>
      <c r="G723" s="4"/>
      <c r="H723" s="3"/>
      <c r="I723" s="3"/>
      <c r="J723" s="3"/>
      <c r="K723" s="3"/>
      <c r="L723" s="3"/>
      <c r="M723" s="3"/>
      <c r="N723" s="3"/>
      <c r="O723" s="3"/>
      <c r="P723" s="3"/>
      <c r="Q723" s="3"/>
      <c r="R723" s="3"/>
      <c r="S723" s="3"/>
      <c r="T723" s="3"/>
      <c r="U723" s="3"/>
      <c r="V723" s="3"/>
      <c r="W723" s="3"/>
      <c r="X723" s="3"/>
      <c r="Y723" s="3"/>
      <c r="Z723" s="3"/>
    </row>
    <row r="724" ht="15.75" customHeight="1">
      <c r="A724" s="3"/>
      <c r="B724" s="3"/>
      <c r="C724" s="7"/>
      <c r="D724" s="3"/>
      <c r="E724" s="3"/>
      <c r="F724" s="7"/>
      <c r="G724" s="4"/>
      <c r="H724" s="3"/>
      <c r="I724" s="3"/>
      <c r="J724" s="3"/>
      <c r="K724" s="3"/>
      <c r="L724" s="3"/>
      <c r="M724" s="3"/>
      <c r="N724" s="3"/>
      <c r="O724" s="3"/>
      <c r="P724" s="3"/>
      <c r="Q724" s="3"/>
      <c r="R724" s="3"/>
      <c r="S724" s="3"/>
      <c r="T724" s="3"/>
      <c r="U724" s="3"/>
      <c r="V724" s="3"/>
      <c r="W724" s="3"/>
      <c r="X724" s="3"/>
      <c r="Y724" s="3"/>
      <c r="Z724" s="3"/>
    </row>
    <row r="725" ht="15.75" customHeight="1">
      <c r="A725" s="3"/>
      <c r="B725" s="3"/>
      <c r="C725" s="7"/>
      <c r="D725" s="3"/>
      <c r="E725" s="3"/>
      <c r="F725" s="7"/>
      <c r="G725" s="4"/>
      <c r="H725" s="3"/>
      <c r="I725" s="3"/>
      <c r="J725" s="3"/>
      <c r="K725" s="3"/>
      <c r="L725" s="3"/>
      <c r="M725" s="3"/>
      <c r="N725" s="3"/>
      <c r="O725" s="3"/>
      <c r="P725" s="3"/>
      <c r="Q725" s="3"/>
      <c r="R725" s="3"/>
      <c r="S725" s="3"/>
      <c r="T725" s="3"/>
      <c r="U725" s="3"/>
      <c r="V725" s="3"/>
      <c r="W725" s="3"/>
      <c r="X725" s="3"/>
      <c r="Y725" s="3"/>
      <c r="Z725" s="3"/>
    </row>
    <row r="726" ht="15.75" customHeight="1">
      <c r="A726" s="3"/>
      <c r="B726" s="3"/>
      <c r="C726" s="7"/>
      <c r="D726" s="3"/>
      <c r="E726" s="3"/>
      <c r="F726" s="7"/>
      <c r="G726" s="4"/>
      <c r="H726" s="3"/>
      <c r="I726" s="3"/>
      <c r="J726" s="3"/>
      <c r="K726" s="3"/>
      <c r="L726" s="3"/>
      <c r="M726" s="3"/>
      <c r="N726" s="3"/>
      <c r="O726" s="3"/>
      <c r="P726" s="3"/>
      <c r="Q726" s="3"/>
      <c r="R726" s="3"/>
      <c r="S726" s="3"/>
      <c r="T726" s="3"/>
      <c r="U726" s="3"/>
      <c r="V726" s="3"/>
      <c r="W726" s="3"/>
      <c r="X726" s="3"/>
      <c r="Y726" s="3"/>
      <c r="Z726" s="3"/>
    </row>
    <row r="727" ht="15.75" customHeight="1">
      <c r="A727" s="3"/>
      <c r="B727" s="3"/>
      <c r="C727" s="7"/>
      <c r="D727" s="3"/>
      <c r="E727" s="3"/>
      <c r="F727" s="7"/>
      <c r="G727" s="4"/>
      <c r="H727" s="3"/>
      <c r="I727" s="3"/>
      <c r="J727" s="3"/>
      <c r="K727" s="3"/>
      <c r="L727" s="3"/>
      <c r="M727" s="3"/>
      <c r="N727" s="3"/>
      <c r="O727" s="3"/>
      <c r="P727" s="3"/>
      <c r="Q727" s="3"/>
      <c r="R727" s="3"/>
      <c r="S727" s="3"/>
      <c r="T727" s="3"/>
      <c r="U727" s="3"/>
      <c r="V727" s="3"/>
      <c r="W727" s="3"/>
      <c r="X727" s="3"/>
      <c r="Y727" s="3"/>
      <c r="Z727" s="3"/>
    </row>
    <row r="728" ht="15.75" customHeight="1">
      <c r="A728" s="3"/>
      <c r="B728" s="3"/>
      <c r="C728" s="7"/>
      <c r="D728" s="3"/>
      <c r="E728" s="3"/>
      <c r="F728" s="7"/>
      <c r="G728" s="4"/>
      <c r="H728" s="3"/>
      <c r="I728" s="3"/>
      <c r="J728" s="3"/>
      <c r="K728" s="3"/>
      <c r="L728" s="3"/>
      <c r="M728" s="3"/>
      <c r="N728" s="3"/>
      <c r="O728" s="3"/>
      <c r="P728" s="3"/>
      <c r="Q728" s="3"/>
      <c r="R728" s="3"/>
      <c r="S728" s="3"/>
      <c r="T728" s="3"/>
      <c r="U728" s="3"/>
      <c r="V728" s="3"/>
      <c r="W728" s="3"/>
      <c r="X728" s="3"/>
      <c r="Y728" s="3"/>
      <c r="Z728" s="3"/>
    </row>
    <row r="729" ht="15.75" customHeight="1">
      <c r="A729" s="3"/>
      <c r="B729" s="3"/>
      <c r="C729" s="7"/>
      <c r="D729" s="3"/>
      <c r="E729" s="3"/>
      <c r="F729" s="7"/>
      <c r="G729" s="4"/>
      <c r="H729" s="3"/>
      <c r="I729" s="3"/>
      <c r="J729" s="3"/>
      <c r="K729" s="3"/>
      <c r="L729" s="3"/>
      <c r="M729" s="3"/>
      <c r="N729" s="3"/>
      <c r="O729" s="3"/>
      <c r="P729" s="3"/>
      <c r="Q729" s="3"/>
      <c r="R729" s="3"/>
      <c r="S729" s="3"/>
      <c r="T729" s="3"/>
      <c r="U729" s="3"/>
      <c r="V729" s="3"/>
      <c r="W729" s="3"/>
      <c r="X729" s="3"/>
      <c r="Y729" s="3"/>
      <c r="Z729" s="3"/>
    </row>
    <row r="730" ht="15.75" customHeight="1">
      <c r="A730" s="3"/>
      <c r="B730" s="3"/>
      <c r="C730" s="7"/>
      <c r="D730" s="3"/>
      <c r="E730" s="3"/>
      <c r="F730" s="7"/>
      <c r="G730" s="4"/>
      <c r="H730" s="3"/>
      <c r="I730" s="3"/>
      <c r="J730" s="3"/>
      <c r="K730" s="3"/>
      <c r="L730" s="3"/>
      <c r="M730" s="3"/>
      <c r="N730" s="3"/>
      <c r="O730" s="3"/>
      <c r="P730" s="3"/>
      <c r="Q730" s="3"/>
      <c r="R730" s="3"/>
      <c r="S730" s="3"/>
      <c r="T730" s="3"/>
      <c r="U730" s="3"/>
      <c r="V730" s="3"/>
      <c r="W730" s="3"/>
      <c r="X730" s="3"/>
      <c r="Y730" s="3"/>
      <c r="Z730" s="3"/>
    </row>
    <row r="731" ht="15.75" customHeight="1">
      <c r="A731" s="3"/>
      <c r="B731" s="3"/>
      <c r="C731" s="7"/>
      <c r="D731" s="3"/>
      <c r="E731" s="3"/>
      <c r="F731" s="7"/>
      <c r="G731" s="4"/>
      <c r="H731" s="3"/>
      <c r="I731" s="3"/>
      <c r="J731" s="3"/>
      <c r="K731" s="3"/>
      <c r="L731" s="3"/>
      <c r="M731" s="3"/>
      <c r="N731" s="3"/>
      <c r="O731" s="3"/>
      <c r="P731" s="3"/>
      <c r="Q731" s="3"/>
      <c r="R731" s="3"/>
      <c r="S731" s="3"/>
      <c r="T731" s="3"/>
      <c r="U731" s="3"/>
      <c r="V731" s="3"/>
      <c r="W731" s="3"/>
      <c r="X731" s="3"/>
      <c r="Y731" s="3"/>
      <c r="Z731" s="3"/>
    </row>
    <row r="732" ht="15.75" customHeight="1">
      <c r="A732" s="3"/>
      <c r="B732" s="3"/>
      <c r="C732" s="7"/>
      <c r="D732" s="3"/>
      <c r="E732" s="3"/>
      <c r="F732" s="7"/>
      <c r="G732" s="4"/>
      <c r="H732" s="3"/>
      <c r="I732" s="3"/>
      <c r="J732" s="3"/>
      <c r="K732" s="3"/>
      <c r="L732" s="3"/>
      <c r="M732" s="3"/>
      <c r="N732" s="3"/>
      <c r="O732" s="3"/>
      <c r="P732" s="3"/>
      <c r="Q732" s="3"/>
      <c r="R732" s="3"/>
      <c r="S732" s="3"/>
      <c r="T732" s="3"/>
      <c r="U732" s="3"/>
      <c r="V732" s="3"/>
      <c r="W732" s="3"/>
      <c r="X732" s="3"/>
      <c r="Y732" s="3"/>
      <c r="Z732" s="3"/>
    </row>
    <row r="733" ht="15.75" customHeight="1">
      <c r="A733" s="3"/>
      <c r="B733" s="3"/>
      <c r="C733" s="7"/>
      <c r="D733" s="3"/>
      <c r="E733" s="3"/>
      <c r="F733" s="7"/>
      <c r="G733" s="4"/>
      <c r="H733" s="3"/>
      <c r="I733" s="3"/>
      <c r="J733" s="3"/>
      <c r="K733" s="3"/>
      <c r="L733" s="3"/>
      <c r="M733" s="3"/>
      <c r="N733" s="3"/>
      <c r="O733" s="3"/>
      <c r="P733" s="3"/>
      <c r="Q733" s="3"/>
      <c r="R733" s="3"/>
      <c r="S733" s="3"/>
      <c r="T733" s="3"/>
      <c r="U733" s="3"/>
      <c r="V733" s="3"/>
      <c r="W733" s="3"/>
      <c r="X733" s="3"/>
      <c r="Y733" s="3"/>
      <c r="Z733" s="3"/>
    </row>
    <row r="734" ht="15.75" customHeight="1">
      <c r="A734" s="3"/>
      <c r="B734" s="3"/>
      <c r="C734" s="7"/>
      <c r="D734" s="3"/>
      <c r="E734" s="3"/>
      <c r="F734" s="7"/>
      <c r="G734" s="4"/>
      <c r="H734" s="3"/>
      <c r="I734" s="3"/>
      <c r="J734" s="3"/>
      <c r="K734" s="3"/>
      <c r="L734" s="3"/>
      <c r="M734" s="3"/>
      <c r="N734" s="3"/>
      <c r="O734" s="3"/>
      <c r="P734" s="3"/>
      <c r="Q734" s="3"/>
      <c r="R734" s="3"/>
      <c r="S734" s="3"/>
      <c r="T734" s="3"/>
      <c r="U734" s="3"/>
      <c r="V734" s="3"/>
      <c r="W734" s="3"/>
      <c r="X734" s="3"/>
      <c r="Y734" s="3"/>
      <c r="Z734" s="3"/>
    </row>
    <row r="735" ht="15.75" customHeight="1">
      <c r="A735" s="3"/>
      <c r="B735" s="3"/>
      <c r="C735" s="7"/>
      <c r="D735" s="3"/>
      <c r="E735" s="3"/>
      <c r="F735" s="7"/>
      <c r="G735" s="4"/>
      <c r="H735" s="3"/>
      <c r="I735" s="3"/>
      <c r="J735" s="3"/>
      <c r="K735" s="3"/>
      <c r="L735" s="3"/>
      <c r="M735" s="3"/>
      <c r="N735" s="3"/>
      <c r="O735" s="3"/>
      <c r="P735" s="3"/>
      <c r="Q735" s="3"/>
      <c r="R735" s="3"/>
      <c r="S735" s="3"/>
      <c r="T735" s="3"/>
      <c r="U735" s="3"/>
      <c r="V735" s="3"/>
      <c r="W735" s="3"/>
      <c r="X735" s="3"/>
      <c r="Y735" s="3"/>
      <c r="Z735" s="3"/>
    </row>
    <row r="736" ht="15.75" customHeight="1">
      <c r="A736" s="3"/>
      <c r="B736" s="3"/>
      <c r="C736" s="7"/>
      <c r="D736" s="3"/>
      <c r="E736" s="3"/>
      <c r="F736" s="7"/>
      <c r="G736" s="4"/>
      <c r="H736" s="3"/>
      <c r="I736" s="3"/>
      <c r="J736" s="3"/>
      <c r="K736" s="3"/>
      <c r="L736" s="3"/>
      <c r="M736" s="3"/>
      <c r="N736" s="3"/>
      <c r="O736" s="3"/>
      <c r="P736" s="3"/>
      <c r="Q736" s="3"/>
      <c r="R736" s="3"/>
      <c r="S736" s="3"/>
      <c r="T736" s="3"/>
      <c r="U736" s="3"/>
      <c r="V736" s="3"/>
      <c r="W736" s="3"/>
      <c r="X736" s="3"/>
      <c r="Y736" s="3"/>
      <c r="Z736" s="3"/>
    </row>
    <row r="737" ht="15.75" customHeight="1">
      <c r="A737" s="3"/>
      <c r="B737" s="3"/>
      <c r="C737" s="7"/>
      <c r="D737" s="3"/>
      <c r="E737" s="3"/>
      <c r="F737" s="7"/>
      <c r="G737" s="4"/>
      <c r="H737" s="3"/>
      <c r="I737" s="3"/>
      <c r="J737" s="3"/>
      <c r="K737" s="3"/>
      <c r="L737" s="3"/>
      <c r="M737" s="3"/>
      <c r="N737" s="3"/>
      <c r="O737" s="3"/>
      <c r="P737" s="3"/>
      <c r="Q737" s="3"/>
      <c r="R737" s="3"/>
      <c r="S737" s="3"/>
      <c r="T737" s="3"/>
      <c r="U737" s="3"/>
      <c r="V737" s="3"/>
      <c r="W737" s="3"/>
      <c r="X737" s="3"/>
      <c r="Y737" s="3"/>
      <c r="Z737" s="3"/>
    </row>
    <row r="738" ht="15.75" customHeight="1">
      <c r="A738" s="3"/>
      <c r="B738" s="3"/>
      <c r="C738" s="7"/>
      <c r="D738" s="3"/>
      <c r="E738" s="3"/>
      <c r="F738" s="7"/>
      <c r="G738" s="4"/>
      <c r="H738" s="3"/>
      <c r="I738" s="3"/>
      <c r="J738" s="3"/>
      <c r="K738" s="3"/>
      <c r="L738" s="3"/>
      <c r="M738" s="3"/>
      <c r="N738" s="3"/>
      <c r="O738" s="3"/>
      <c r="P738" s="3"/>
      <c r="Q738" s="3"/>
      <c r="R738" s="3"/>
      <c r="S738" s="3"/>
      <c r="T738" s="3"/>
      <c r="U738" s="3"/>
      <c r="V738" s="3"/>
      <c r="W738" s="3"/>
      <c r="X738" s="3"/>
      <c r="Y738" s="3"/>
      <c r="Z738" s="3"/>
    </row>
    <row r="739" ht="15.75" customHeight="1">
      <c r="A739" s="3"/>
      <c r="B739" s="3"/>
      <c r="C739" s="7"/>
      <c r="D739" s="3"/>
      <c r="E739" s="3"/>
      <c r="F739" s="7"/>
      <c r="G739" s="4"/>
      <c r="H739" s="3"/>
      <c r="I739" s="3"/>
      <c r="J739" s="3"/>
      <c r="K739" s="3"/>
      <c r="L739" s="3"/>
      <c r="M739" s="3"/>
      <c r="N739" s="3"/>
      <c r="O739" s="3"/>
      <c r="P739" s="3"/>
      <c r="Q739" s="3"/>
      <c r="R739" s="3"/>
      <c r="S739" s="3"/>
      <c r="T739" s="3"/>
      <c r="U739" s="3"/>
      <c r="V739" s="3"/>
      <c r="W739" s="3"/>
      <c r="X739" s="3"/>
      <c r="Y739" s="3"/>
      <c r="Z739" s="3"/>
    </row>
    <row r="740" ht="15.75" customHeight="1">
      <c r="A740" s="3"/>
      <c r="B740" s="3"/>
      <c r="C740" s="7"/>
      <c r="D740" s="3"/>
      <c r="E740" s="3"/>
      <c r="F740" s="7"/>
      <c r="G740" s="4"/>
      <c r="H740" s="3"/>
      <c r="I740" s="3"/>
      <c r="J740" s="3"/>
      <c r="K740" s="3"/>
      <c r="L740" s="3"/>
      <c r="M740" s="3"/>
      <c r="N740" s="3"/>
      <c r="O740" s="3"/>
      <c r="P740" s="3"/>
      <c r="Q740" s="3"/>
      <c r="R740" s="3"/>
      <c r="S740" s="3"/>
      <c r="T740" s="3"/>
      <c r="U740" s="3"/>
      <c r="V740" s="3"/>
      <c r="W740" s="3"/>
      <c r="X740" s="3"/>
      <c r="Y740" s="3"/>
      <c r="Z740" s="3"/>
    </row>
    <row r="741" ht="15.75" customHeight="1">
      <c r="A741" s="3"/>
      <c r="B741" s="3"/>
      <c r="C741" s="7"/>
      <c r="D741" s="3"/>
      <c r="E741" s="3"/>
      <c r="F741" s="7"/>
      <c r="G741" s="4"/>
      <c r="H741" s="3"/>
      <c r="I741" s="3"/>
      <c r="J741" s="3"/>
      <c r="K741" s="3"/>
      <c r="L741" s="3"/>
      <c r="M741" s="3"/>
      <c r="N741" s="3"/>
      <c r="O741" s="3"/>
      <c r="P741" s="3"/>
      <c r="Q741" s="3"/>
      <c r="R741" s="3"/>
      <c r="S741" s="3"/>
      <c r="T741" s="3"/>
      <c r="U741" s="3"/>
      <c r="V741" s="3"/>
      <c r="W741" s="3"/>
      <c r="X741" s="3"/>
      <c r="Y741" s="3"/>
      <c r="Z741" s="3"/>
    </row>
    <row r="742" ht="15.75" customHeight="1">
      <c r="A742" s="3"/>
      <c r="B742" s="3"/>
      <c r="C742" s="7"/>
      <c r="D742" s="3"/>
      <c r="E742" s="3"/>
      <c r="F742" s="7"/>
      <c r="G742" s="4"/>
      <c r="H742" s="3"/>
      <c r="I742" s="3"/>
      <c r="J742" s="3"/>
      <c r="K742" s="3"/>
      <c r="L742" s="3"/>
      <c r="M742" s="3"/>
      <c r="N742" s="3"/>
      <c r="O742" s="3"/>
      <c r="P742" s="3"/>
      <c r="Q742" s="3"/>
      <c r="R742" s="3"/>
      <c r="S742" s="3"/>
      <c r="T742" s="3"/>
      <c r="U742" s="3"/>
      <c r="V742" s="3"/>
      <c r="W742" s="3"/>
      <c r="X742" s="3"/>
      <c r="Y742" s="3"/>
      <c r="Z742" s="3"/>
    </row>
    <row r="743" ht="15.75" customHeight="1">
      <c r="A743" s="3"/>
      <c r="B743" s="3"/>
      <c r="C743" s="7"/>
      <c r="D743" s="3"/>
      <c r="E743" s="3"/>
      <c r="F743" s="7"/>
      <c r="G743" s="4"/>
      <c r="H743" s="3"/>
      <c r="I743" s="3"/>
      <c r="J743" s="3"/>
      <c r="K743" s="3"/>
      <c r="L743" s="3"/>
      <c r="M743" s="3"/>
      <c r="N743" s="3"/>
      <c r="O743" s="3"/>
      <c r="P743" s="3"/>
      <c r="Q743" s="3"/>
      <c r="R743" s="3"/>
      <c r="S743" s="3"/>
      <c r="T743" s="3"/>
      <c r="U743" s="3"/>
      <c r="V743" s="3"/>
      <c r="W743" s="3"/>
      <c r="X743" s="3"/>
      <c r="Y743" s="3"/>
      <c r="Z743" s="3"/>
    </row>
    <row r="744" ht="15.75" customHeight="1">
      <c r="A744" s="3"/>
      <c r="B744" s="3"/>
      <c r="C744" s="7"/>
      <c r="D744" s="3"/>
      <c r="E744" s="3"/>
      <c r="F744" s="7"/>
      <c r="G744" s="4"/>
      <c r="H744" s="3"/>
      <c r="I744" s="3"/>
      <c r="J744" s="3"/>
      <c r="K744" s="3"/>
      <c r="L744" s="3"/>
      <c r="M744" s="3"/>
      <c r="N744" s="3"/>
      <c r="O744" s="3"/>
      <c r="P744" s="3"/>
      <c r="Q744" s="3"/>
      <c r="R744" s="3"/>
      <c r="S744" s="3"/>
      <c r="T744" s="3"/>
      <c r="U744" s="3"/>
      <c r="V744" s="3"/>
      <c r="W744" s="3"/>
      <c r="X744" s="3"/>
      <c r="Y744" s="3"/>
      <c r="Z744" s="3"/>
    </row>
    <row r="745" ht="15.75" customHeight="1">
      <c r="A745" s="3"/>
      <c r="B745" s="3"/>
      <c r="C745" s="7"/>
      <c r="D745" s="3"/>
      <c r="E745" s="3"/>
      <c r="F745" s="7"/>
      <c r="G745" s="4"/>
      <c r="H745" s="3"/>
      <c r="I745" s="3"/>
      <c r="J745" s="3"/>
      <c r="K745" s="3"/>
      <c r="L745" s="3"/>
      <c r="M745" s="3"/>
      <c r="N745" s="3"/>
      <c r="O745" s="3"/>
      <c r="P745" s="3"/>
      <c r="Q745" s="3"/>
      <c r="R745" s="3"/>
      <c r="S745" s="3"/>
      <c r="T745" s="3"/>
      <c r="U745" s="3"/>
      <c r="V745" s="3"/>
      <c r="W745" s="3"/>
      <c r="X745" s="3"/>
      <c r="Y745" s="3"/>
      <c r="Z745" s="3"/>
    </row>
    <row r="746" ht="15.75" customHeight="1">
      <c r="A746" s="3"/>
      <c r="B746" s="3"/>
      <c r="C746" s="7"/>
      <c r="D746" s="3"/>
      <c r="E746" s="3"/>
      <c r="F746" s="7"/>
      <c r="G746" s="4"/>
      <c r="H746" s="3"/>
      <c r="I746" s="3"/>
      <c r="J746" s="3"/>
      <c r="K746" s="3"/>
      <c r="L746" s="3"/>
      <c r="M746" s="3"/>
      <c r="N746" s="3"/>
      <c r="O746" s="3"/>
      <c r="P746" s="3"/>
      <c r="Q746" s="3"/>
      <c r="R746" s="3"/>
      <c r="S746" s="3"/>
      <c r="T746" s="3"/>
      <c r="U746" s="3"/>
      <c r="V746" s="3"/>
      <c r="W746" s="3"/>
      <c r="X746" s="3"/>
      <c r="Y746" s="3"/>
      <c r="Z746" s="3"/>
    </row>
    <row r="747" ht="15.75" customHeight="1">
      <c r="A747" s="3"/>
      <c r="B747" s="3"/>
      <c r="C747" s="7"/>
      <c r="D747" s="3"/>
      <c r="E747" s="3"/>
      <c r="F747" s="7"/>
      <c r="G747" s="4"/>
      <c r="H747" s="3"/>
      <c r="I747" s="3"/>
      <c r="J747" s="3"/>
      <c r="K747" s="3"/>
      <c r="L747" s="3"/>
      <c r="M747" s="3"/>
      <c r="N747" s="3"/>
      <c r="O747" s="3"/>
      <c r="P747" s="3"/>
      <c r="Q747" s="3"/>
      <c r="R747" s="3"/>
      <c r="S747" s="3"/>
      <c r="T747" s="3"/>
      <c r="U747" s="3"/>
      <c r="V747" s="3"/>
      <c r="W747" s="3"/>
      <c r="X747" s="3"/>
      <c r="Y747" s="3"/>
      <c r="Z747" s="3"/>
    </row>
    <row r="748" ht="15.75" customHeight="1">
      <c r="A748" s="3"/>
      <c r="B748" s="3"/>
      <c r="C748" s="7"/>
      <c r="D748" s="3"/>
      <c r="E748" s="3"/>
      <c r="F748" s="7"/>
      <c r="G748" s="4"/>
      <c r="H748" s="3"/>
      <c r="I748" s="3"/>
      <c r="J748" s="3"/>
      <c r="K748" s="3"/>
      <c r="L748" s="3"/>
      <c r="M748" s="3"/>
      <c r="N748" s="3"/>
      <c r="O748" s="3"/>
      <c r="P748" s="3"/>
      <c r="Q748" s="3"/>
      <c r="R748" s="3"/>
      <c r="S748" s="3"/>
      <c r="T748" s="3"/>
      <c r="U748" s="3"/>
      <c r="V748" s="3"/>
      <c r="W748" s="3"/>
      <c r="X748" s="3"/>
      <c r="Y748" s="3"/>
      <c r="Z748" s="3"/>
    </row>
    <row r="749" ht="15.75" customHeight="1">
      <c r="A749" s="3"/>
      <c r="B749" s="3"/>
      <c r="C749" s="7"/>
      <c r="D749" s="3"/>
      <c r="E749" s="3"/>
      <c r="F749" s="7"/>
      <c r="G749" s="4"/>
      <c r="H749" s="3"/>
      <c r="I749" s="3"/>
      <c r="J749" s="3"/>
      <c r="K749" s="3"/>
      <c r="L749" s="3"/>
      <c r="M749" s="3"/>
      <c r="N749" s="3"/>
      <c r="O749" s="3"/>
      <c r="P749" s="3"/>
      <c r="Q749" s="3"/>
      <c r="R749" s="3"/>
      <c r="S749" s="3"/>
      <c r="T749" s="3"/>
      <c r="U749" s="3"/>
      <c r="V749" s="3"/>
      <c r="W749" s="3"/>
      <c r="X749" s="3"/>
      <c r="Y749" s="3"/>
      <c r="Z749" s="3"/>
    </row>
    <row r="750" ht="15.75" customHeight="1">
      <c r="A750" s="3"/>
      <c r="B750" s="3"/>
      <c r="C750" s="7"/>
      <c r="D750" s="3"/>
      <c r="E750" s="3"/>
      <c r="F750" s="7"/>
      <c r="G750" s="4"/>
      <c r="H750" s="3"/>
      <c r="I750" s="3"/>
      <c r="J750" s="3"/>
      <c r="K750" s="3"/>
      <c r="L750" s="3"/>
      <c r="M750" s="3"/>
      <c r="N750" s="3"/>
      <c r="O750" s="3"/>
      <c r="P750" s="3"/>
      <c r="Q750" s="3"/>
      <c r="R750" s="3"/>
      <c r="S750" s="3"/>
      <c r="T750" s="3"/>
      <c r="U750" s="3"/>
      <c r="V750" s="3"/>
      <c r="W750" s="3"/>
      <c r="X750" s="3"/>
      <c r="Y750" s="3"/>
      <c r="Z750" s="3"/>
    </row>
    <row r="751" ht="15.75" customHeight="1">
      <c r="A751" s="3"/>
      <c r="B751" s="3"/>
      <c r="C751" s="7"/>
      <c r="D751" s="3"/>
      <c r="E751" s="3"/>
      <c r="F751" s="7"/>
      <c r="G751" s="4"/>
      <c r="H751" s="3"/>
      <c r="I751" s="3"/>
      <c r="J751" s="3"/>
      <c r="K751" s="3"/>
      <c r="L751" s="3"/>
      <c r="M751" s="3"/>
      <c r="N751" s="3"/>
      <c r="O751" s="3"/>
      <c r="P751" s="3"/>
      <c r="Q751" s="3"/>
      <c r="R751" s="3"/>
      <c r="S751" s="3"/>
      <c r="T751" s="3"/>
      <c r="U751" s="3"/>
      <c r="V751" s="3"/>
      <c r="W751" s="3"/>
      <c r="X751" s="3"/>
      <c r="Y751" s="3"/>
      <c r="Z751" s="3"/>
    </row>
    <row r="752" ht="15.75" customHeight="1">
      <c r="A752" s="3"/>
      <c r="B752" s="3"/>
      <c r="C752" s="7"/>
      <c r="D752" s="3"/>
      <c r="E752" s="3"/>
      <c r="F752" s="7"/>
      <c r="G752" s="4"/>
      <c r="H752" s="3"/>
      <c r="I752" s="3"/>
      <c r="J752" s="3"/>
      <c r="K752" s="3"/>
      <c r="L752" s="3"/>
      <c r="M752" s="3"/>
      <c r="N752" s="3"/>
      <c r="O752" s="3"/>
      <c r="P752" s="3"/>
      <c r="Q752" s="3"/>
      <c r="R752" s="3"/>
      <c r="S752" s="3"/>
      <c r="T752" s="3"/>
      <c r="U752" s="3"/>
      <c r="V752" s="3"/>
      <c r="W752" s="3"/>
      <c r="X752" s="3"/>
      <c r="Y752" s="3"/>
      <c r="Z752" s="3"/>
    </row>
    <row r="753" ht="15.75" customHeight="1">
      <c r="A753" s="3"/>
      <c r="B753" s="3"/>
      <c r="C753" s="7"/>
      <c r="D753" s="3"/>
      <c r="E753" s="3"/>
      <c r="F753" s="7"/>
      <c r="G753" s="4"/>
      <c r="H753" s="3"/>
      <c r="I753" s="3"/>
      <c r="J753" s="3"/>
      <c r="K753" s="3"/>
      <c r="L753" s="3"/>
      <c r="M753" s="3"/>
      <c r="N753" s="3"/>
      <c r="O753" s="3"/>
      <c r="P753" s="3"/>
      <c r="Q753" s="3"/>
      <c r="R753" s="3"/>
      <c r="S753" s="3"/>
      <c r="T753" s="3"/>
      <c r="U753" s="3"/>
      <c r="V753" s="3"/>
      <c r="W753" s="3"/>
      <c r="X753" s="3"/>
      <c r="Y753" s="3"/>
      <c r="Z753" s="3"/>
    </row>
    <row r="754" ht="15.75" customHeight="1">
      <c r="A754" s="3"/>
      <c r="B754" s="3"/>
      <c r="C754" s="7"/>
      <c r="D754" s="3"/>
      <c r="E754" s="3"/>
      <c r="F754" s="7"/>
      <c r="G754" s="4"/>
      <c r="H754" s="3"/>
      <c r="I754" s="3"/>
      <c r="J754" s="3"/>
      <c r="K754" s="3"/>
      <c r="L754" s="3"/>
      <c r="M754" s="3"/>
      <c r="N754" s="3"/>
      <c r="O754" s="3"/>
      <c r="P754" s="3"/>
      <c r="Q754" s="3"/>
      <c r="R754" s="3"/>
      <c r="S754" s="3"/>
      <c r="T754" s="3"/>
      <c r="U754" s="3"/>
      <c r="V754" s="3"/>
      <c r="W754" s="3"/>
      <c r="X754" s="3"/>
      <c r="Y754" s="3"/>
      <c r="Z754" s="3"/>
    </row>
    <row r="755" ht="15.75" customHeight="1">
      <c r="A755" s="3"/>
      <c r="B755" s="3"/>
      <c r="C755" s="7"/>
      <c r="D755" s="3"/>
      <c r="E755" s="3"/>
      <c r="F755" s="7"/>
      <c r="G755" s="4"/>
      <c r="H755" s="3"/>
      <c r="I755" s="3"/>
      <c r="J755" s="3"/>
      <c r="K755" s="3"/>
      <c r="L755" s="3"/>
      <c r="M755" s="3"/>
      <c r="N755" s="3"/>
      <c r="O755" s="3"/>
      <c r="P755" s="3"/>
      <c r="Q755" s="3"/>
      <c r="R755" s="3"/>
      <c r="S755" s="3"/>
      <c r="T755" s="3"/>
      <c r="U755" s="3"/>
      <c r="V755" s="3"/>
      <c r="W755" s="3"/>
      <c r="X755" s="3"/>
      <c r="Y755" s="3"/>
      <c r="Z755" s="3"/>
    </row>
    <row r="756" ht="15.75" customHeight="1">
      <c r="A756" s="3"/>
      <c r="B756" s="3"/>
      <c r="C756" s="7"/>
      <c r="D756" s="3"/>
      <c r="E756" s="3"/>
      <c r="F756" s="7"/>
      <c r="G756" s="4"/>
      <c r="H756" s="3"/>
      <c r="I756" s="3"/>
      <c r="J756" s="3"/>
      <c r="K756" s="3"/>
      <c r="L756" s="3"/>
      <c r="M756" s="3"/>
      <c r="N756" s="3"/>
      <c r="O756" s="3"/>
      <c r="P756" s="3"/>
      <c r="Q756" s="3"/>
      <c r="R756" s="3"/>
      <c r="S756" s="3"/>
      <c r="T756" s="3"/>
      <c r="U756" s="3"/>
      <c r="V756" s="3"/>
      <c r="W756" s="3"/>
      <c r="X756" s="3"/>
      <c r="Y756" s="3"/>
      <c r="Z756" s="3"/>
    </row>
    <row r="757" ht="15.75" customHeight="1">
      <c r="A757" s="3"/>
      <c r="B757" s="3"/>
      <c r="C757" s="7"/>
      <c r="D757" s="3"/>
      <c r="E757" s="3"/>
      <c r="F757" s="7"/>
      <c r="G757" s="4"/>
      <c r="H757" s="3"/>
      <c r="I757" s="3"/>
      <c r="J757" s="3"/>
      <c r="K757" s="3"/>
      <c r="L757" s="3"/>
      <c r="M757" s="3"/>
      <c r="N757" s="3"/>
      <c r="O757" s="3"/>
      <c r="P757" s="3"/>
      <c r="Q757" s="3"/>
      <c r="R757" s="3"/>
      <c r="S757" s="3"/>
      <c r="T757" s="3"/>
      <c r="U757" s="3"/>
      <c r="V757" s="3"/>
      <c r="W757" s="3"/>
      <c r="X757" s="3"/>
      <c r="Y757" s="3"/>
      <c r="Z757" s="3"/>
    </row>
    <row r="758" ht="15.75" customHeight="1">
      <c r="A758" s="3"/>
      <c r="B758" s="3"/>
      <c r="C758" s="7"/>
      <c r="D758" s="3"/>
      <c r="E758" s="3"/>
      <c r="F758" s="7"/>
      <c r="G758" s="4"/>
      <c r="H758" s="3"/>
      <c r="I758" s="3"/>
      <c r="J758" s="3"/>
      <c r="K758" s="3"/>
      <c r="L758" s="3"/>
      <c r="M758" s="3"/>
      <c r="N758" s="3"/>
      <c r="O758" s="3"/>
      <c r="P758" s="3"/>
      <c r="Q758" s="3"/>
      <c r="R758" s="3"/>
      <c r="S758" s="3"/>
      <c r="T758" s="3"/>
      <c r="U758" s="3"/>
      <c r="V758" s="3"/>
      <c r="W758" s="3"/>
      <c r="X758" s="3"/>
      <c r="Y758" s="3"/>
      <c r="Z758" s="3"/>
    </row>
    <row r="759" ht="15.75" customHeight="1">
      <c r="A759" s="3"/>
      <c r="B759" s="3"/>
      <c r="C759" s="7"/>
      <c r="D759" s="3"/>
      <c r="E759" s="3"/>
      <c r="F759" s="7"/>
      <c r="G759" s="4"/>
      <c r="H759" s="3"/>
      <c r="I759" s="3"/>
      <c r="J759" s="3"/>
      <c r="K759" s="3"/>
      <c r="L759" s="3"/>
      <c r="M759" s="3"/>
      <c r="N759" s="3"/>
      <c r="O759" s="3"/>
      <c r="P759" s="3"/>
      <c r="Q759" s="3"/>
      <c r="R759" s="3"/>
      <c r="S759" s="3"/>
      <c r="T759" s="3"/>
      <c r="U759" s="3"/>
      <c r="V759" s="3"/>
      <c r="W759" s="3"/>
      <c r="X759" s="3"/>
      <c r="Y759" s="3"/>
      <c r="Z759" s="3"/>
    </row>
    <row r="760" ht="15.75" customHeight="1">
      <c r="A760" s="3"/>
      <c r="B760" s="3"/>
      <c r="C760" s="7"/>
      <c r="D760" s="3"/>
      <c r="E760" s="3"/>
      <c r="F760" s="7"/>
      <c r="G760" s="4"/>
      <c r="H760" s="3"/>
      <c r="I760" s="3"/>
      <c r="J760" s="3"/>
      <c r="K760" s="3"/>
      <c r="L760" s="3"/>
      <c r="M760" s="3"/>
      <c r="N760" s="3"/>
      <c r="O760" s="3"/>
      <c r="P760" s="3"/>
      <c r="Q760" s="3"/>
      <c r="R760" s="3"/>
      <c r="S760" s="3"/>
      <c r="T760" s="3"/>
      <c r="U760" s="3"/>
      <c r="V760" s="3"/>
      <c r="W760" s="3"/>
      <c r="X760" s="3"/>
      <c r="Y760" s="3"/>
      <c r="Z760" s="3"/>
    </row>
    <row r="761" ht="15.75" customHeight="1">
      <c r="A761" s="3"/>
      <c r="B761" s="3"/>
      <c r="C761" s="7"/>
      <c r="D761" s="3"/>
      <c r="E761" s="3"/>
      <c r="F761" s="7"/>
      <c r="G761" s="4"/>
      <c r="H761" s="3"/>
      <c r="I761" s="3"/>
      <c r="J761" s="3"/>
      <c r="K761" s="3"/>
      <c r="L761" s="3"/>
      <c r="M761" s="3"/>
      <c r="N761" s="3"/>
      <c r="O761" s="3"/>
      <c r="P761" s="3"/>
      <c r="Q761" s="3"/>
      <c r="R761" s="3"/>
      <c r="S761" s="3"/>
      <c r="T761" s="3"/>
      <c r="U761" s="3"/>
      <c r="V761" s="3"/>
      <c r="W761" s="3"/>
      <c r="X761" s="3"/>
      <c r="Y761" s="3"/>
      <c r="Z761" s="3"/>
    </row>
    <row r="762" ht="15.75" customHeight="1">
      <c r="A762" s="3"/>
      <c r="B762" s="3"/>
      <c r="C762" s="7"/>
      <c r="D762" s="3"/>
      <c r="E762" s="3"/>
      <c r="F762" s="7"/>
      <c r="G762" s="4"/>
      <c r="H762" s="3"/>
      <c r="I762" s="3"/>
      <c r="J762" s="3"/>
      <c r="K762" s="3"/>
      <c r="L762" s="3"/>
      <c r="M762" s="3"/>
      <c r="N762" s="3"/>
      <c r="O762" s="3"/>
      <c r="P762" s="3"/>
      <c r="Q762" s="3"/>
      <c r="R762" s="3"/>
      <c r="S762" s="3"/>
      <c r="T762" s="3"/>
      <c r="U762" s="3"/>
      <c r="V762" s="3"/>
      <c r="W762" s="3"/>
      <c r="X762" s="3"/>
      <c r="Y762" s="3"/>
      <c r="Z762" s="3"/>
    </row>
    <row r="763" ht="15.75" customHeight="1">
      <c r="A763" s="3"/>
      <c r="B763" s="3"/>
      <c r="C763" s="7"/>
      <c r="D763" s="3"/>
      <c r="E763" s="3"/>
      <c r="F763" s="7"/>
      <c r="G763" s="4"/>
      <c r="H763" s="3"/>
      <c r="I763" s="3"/>
      <c r="J763" s="3"/>
      <c r="K763" s="3"/>
      <c r="L763" s="3"/>
      <c r="M763" s="3"/>
      <c r="N763" s="3"/>
      <c r="O763" s="3"/>
      <c r="P763" s="3"/>
      <c r="Q763" s="3"/>
      <c r="R763" s="3"/>
      <c r="S763" s="3"/>
      <c r="T763" s="3"/>
      <c r="U763" s="3"/>
      <c r="V763" s="3"/>
      <c r="W763" s="3"/>
      <c r="X763" s="3"/>
      <c r="Y763" s="3"/>
      <c r="Z763" s="3"/>
    </row>
    <row r="764" ht="15.75" customHeight="1">
      <c r="A764" s="3"/>
      <c r="B764" s="3"/>
      <c r="C764" s="7"/>
      <c r="D764" s="3"/>
      <c r="E764" s="3"/>
      <c r="F764" s="7"/>
      <c r="G764" s="4"/>
      <c r="H764" s="3"/>
      <c r="I764" s="3"/>
      <c r="J764" s="3"/>
      <c r="K764" s="3"/>
      <c r="L764" s="3"/>
      <c r="M764" s="3"/>
      <c r="N764" s="3"/>
      <c r="O764" s="3"/>
      <c r="P764" s="3"/>
      <c r="Q764" s="3"/>
      <c r="R764" s="3"/>
      <c r="S764" s="3"/>
      <c r="T764" s="3"/>
      <c r="U764" s="3"/>
      <c r="V764" s="3"/>
      <c r="W764" s="3"/>
      <c r="X764" s="3"/>
      <c r="Y764" s="3"/>
      <c r="Z764" s="3"/>
    </row>
    <row r="765" ht="15.75" customHeight="1">
      <c r="A765" s="3"/>
      <c r="B765" s="3"/>
      <c r="C765" s="7"/>
      <c r="D765" s="3"/>
      <c r="E765" s="3"/>
      <c r="F765" s="7"/>
      <c r="G765" s="4"/>
      <c r="H765" s="3"/>
      <c r="I765" s="3"/>
      <c r="J765" s="3"/>
      <c r="K765" s="3"/>
      <c r="L765" s="3"/>
      <c r="M765" s="3"/>
      <c r="N765" s="3"/>
      <c r="O765" s="3"/>
      <c r="P765" s="3"/>
      <c r="Q765" s="3"/>
      <c r="R765" s="3"/>
      <c r="S765" s="3"/>
      <c r="T765" s="3"/>
      <c r="U765" s="3"/>
      <c r="V765" s="3"/>
      <c r="W765" s="3"/>
      <c r="X765" s="3"/>
      <c r="Y765" s="3"/>
      <c r="Z765" s="3"/>
    </row>
    <row r="766" ht="15.75" customHeight="1">
      <c r="A766" s="3"/>
      <c r="B766" s="3"/>
      <c r="C766" s="7"/>
      <c r="D766" s="3"/>
      <c r="E766" s="3"/>
      <c r="F766" s="7"/>
      <c r="G766" s="4"/>
      <c r="H766" s="3"/>
      <c r="I766" s="3"/>
      <c r="J766" s="3"/>
      <c r="K766" s="3"/>
      <c r="L766" s="3"/>
      <c r="M766" s="3"/>
      <c r="N766" s="3"/>
      <c r="O766" s="3"/>
      <c r="P766" s="3"/>
      <c r="Q766" s="3"/>
      <c r="R766" s="3"/>
      <c r="S766" s="3"/>
      <c r="T766" s="3"/>
      <c r="U766" s="3"/>
      <c r="V766" s="3"/>
      <c r="W766" s="3"/>
      <c r="X766" s="3"/>
      <c r="Y766" s="3"/>
      <c r="Z766" s="3"/>
    </row>
    <row r="767" ht="15.75" customHeight="1">
      <c r="A767" s="3"/>
      <c r="B767" s="3"/>
      <c r="C767" s="7"/>
      <c r="D767" s="3"/>
      <c r="E767" s="3"/>
      <c r="F767" s="7"/>
      <c r="G767" s="4"/>
      <c r="H767" s="3"/>
      <c r="I767" s="3"/>
      <c r="J767" s="3"/>
      <c r="K767" s="3"/>
      <c r="L767" s="3"/>
      <c r="M767" s="3"/>
      <c r="N767" s="3"/>
      <c r="O767" s="3"/>
      <c r="P767" s="3"/>
      <c r="Q767" s="3"/>
      <c r="R767" s="3"/>
      <c r="S767" s="3"/>
      <c r="T767" s="3"/>
      <c r="U767" s="3"/>
      <c r="V767" s="3"/>
      <c r="W767" s="3"/>
      <c r="X767" s="3"/>
      <c r="Y767" s="3"/>
      <c r="Z767" s="3"/>
    </row>
    <row r="768" ht="15.75" customHeight="1">
      <c r="A768" s="3"/>
      <c r="B768" s="3"/>
      <c r="C768" s="7"/>
      <c r="D768" s="3"/>
      <c r="E768" s="3"/>
      <c r="F768" s="7"/>
      <c r="G768" s="4"/>
      <c r="H768" s="3"/>
      <c r="I768" s="3"/>
      <c r="J768" s="3"/>
      <c r="K768" s="3"/>
      <c r="L768" s="3"/>
      <c r="M768" s="3"/>
      <c r="N768" s="3"/>
      <c r="O768" s="3"/>
      <c r="P768" s="3"/>
      <c r="Q768" s="3"/>
      <c r="R768" s="3"/>
      <c r="S768" s="3"/>
      <c r="T768" s="3"/>
      <c r="U768" s="3"/>
      <c r="V768" s="3"/>
      <c r="W768" s="3"/>
      <c r="X768" s="3"/>
      <c r="Y768" s="3"/>
      <c r="Z768" s="3"/>
    </row>
    <row r="769" ht="15.75" customHeight="1">
      <c r="A769" s="3"/>
      <c r="B769" s="3"/>
      <c r="C769" s="7"/>
      <c r="D769" s="3"/>
      <c r="E769" s="3"/>
      <c r="F769" s="7"/>
      <c r="G769" s="4"/>
      <c r="H769" s="3"/>
      <c r="I769" s="3"/>
      <c r="J769" s="3"/>
      <c r="K769" s="3"/>
      <c r="L769" s="3"/>
      <c r="M769" s="3"/>
      <c r="N769" s="3"/>
      <c r="O769" s="3"/>
      <c r="P769" s="3"/>
      <c r="Q769" s="3"/>
      <c r="R769" s="3"/>
      <c r="S769" s="3"/>
      <c r="T769" s="3"/>
      <c r="U769" s="3"/>
      <c r="V769" s="3"/>
      <c r="W769" s="3"/>
      <c r="X769" s="3"/>
      <c r="Y769" s="3"/>
      <c r="Z769" s="3"/>
    </row>
    <row r="770" ht="15.75" customHeight="1">
      <c r="A770" s="3"/>
      <c r="B770" s="3"/>
      <c r="C770" s="7"/>
      <c r="D770" s="3"/>
      <c r="E770" s="3"/>
      <c r="F770" s="7"/>
      <c r="G770" s="4"/>
      <c r="H770" s="3"/>
      <c r="I770" s="3"/>
      <c r="J770" s="3"/>
      <c r="K770" s="3"/>
      <c r="L770" s="3"/>
      <c r="M770" s="3"/>
      <c r="N770" s="3"/>
      <c r="O770" s="3"/>
      <c r="P770" s="3"/>
      <c r="Q770" s="3"/>
      <c r="R770" s="3"/>
      <c r="S770" s="3"/>
      <c r="T770" s="3"/>
      <c r="U770" s="3"/>
      <c r="V770" s="3"/>
      <c r="W770" s="3"/>
      <c r="X770" s="3"/>
      <c r="Y770" s="3"/>
      <c r="Z770" s="3"/>
    </row>
    <row r="771" ht="15.75" customHeight="1">
      <c r="A771" s="3"/>
      <c r="B771" s="3"/>
      <c r="C771" s="7"/>
      <c r="D771" s="3"/>
      <c r="E771" s="3"/>
      <c r="F771" s="7"/>
      <c r="G771" s="4"/>
      <c r="H771" s="3"/>
      <c r="I771" s="3"/>
      <c r="J771" s="3"/>
      <c r="K771" s="3"/>
      <c r="L771" s="3"/>
      <c r="M771" s="3"/>
      <c r="N771" s="3"/>
      <c r="O771" s="3"/>
      <c r="P771" s="3"/>
      <c r="Q771" s="3"/>
      <c r="R771" s="3"/>
      <c r="S771" s="3"/>
      <c r="T771" s="3"/>
      <c r="U771" s="3"/>
      <c r="V771" s="3"/>
      <c r="W771" s="3"/>
      <c r="X771" s="3"/>
      <c r="Y771" s="3"/>
      <c r="Z771" s="3"/>
    </row>
    <row r="772" ht="15.75" customHeight="1">
      <c r="A772" s="3"/>
      <c r="B772" s="3"/>
      <c r="C772" s="7"/>
      <c r="D772" s="3"/>
      <c r="E772" s="3"/>
      <c r="F772" s="7"/>
      <c r="G772" s="4"/>
      <c r="H772" s="3"/>
      <c r="I772" s="3"/>
      <c r="J772" s="3"/>
      <c r="K772" s="3"/>
      <c r="L772" s="3"/>
      <c r="M772" s="3"/>
      <c r="N772" s="3"/>
      <c r="O772" s="3"/>
      <c r="P772" s="3"/>
      <c r="Q772" s="3"/>
      <c r="R772" s="3"/>
      <c r="S772" s="3"/>
      <c r="T772" s="3"/>
      <c r="U772" s="3"/>
      <c r="V772" s="3"/>
      <c r="W772" s="3"/>
      <c r="X772" s="3"/>
      <c r="Y772" s="3"/>
      <c r="Z772" s="3"/>
    </row>
    <row r="773" ht="15.75" customHeight="1">
      <c r="A773" s="3"/>
      <c r="B773" s="3"/>
      <c r="C773" s="7"/>
      <c r="D773" s="3"/>
      <c r="E773" s="3"/>
      <c r="F773" s="7"/>
      <c r="G773" s="4"/>
      <c r="H773" s="3"/>
      <c r="I773" s="3"/>
      <c r="J773" s="3"/>
      <c r="K773" s="3"/>
      <c r="L773" s="3"/>
      <c r="M773" s="3"/>
      <c r="N773" s="3"/>
      <c r="O773" s="3"/>
      <c r="P773" s="3"/>
      <c r="Q773" s="3"/>
      <c r="R773" s="3"/>
      <c r="S773" s="3"/>
      <c r="T773" s="3"/>
      <c r="U773" s="3"/>
      <c r="V773" s="3"/>
      <c r="W773" s="3"/>
      <c r="X773" s="3"/>
      <c r="Y773" s="3"/>
      <c r="Z773" s="3"/>
    </row>
    <row r="774" ht="15.75" customHeight="1">
      <c r="A774" s="3"/>
      <c r="B774" s="3"/>
      <c r="C774" s="7"/>
      <c r="D774" s="3"/>
      <c r="E774" s="3"/>
      <c r="F774" s="7"/>
      <c r="G774" s="4"/>
      <c r="H774" s="3"/>
      <c r="I774" s="3"/>
      <c r="J774" s="3"/>
      <c r="K774" s="3"/>
      <c r="L774" s="3"/>
      <c r="M774" s="3"/>
      <c r="N774" s="3"/>
      <c r="O774" s="3"/>
      <c r="P774" s="3"/>
      <c r="Q774" s="3"/>
      <c r="R774" s="3"/>
      <c r="S774" s="3"/>
      <c r="T774" s="3"/>
      <c r="U774" s="3"/>
      <c r="V774" s="3"/>
      <c r="W774" s="3"/>
      <c r="X774" s="3"/>
      <c r="Y774" s="3"/>
      <c r="Z774" s="3"/>
    </row>
    <row r="775" ht="15.75" customHeight="1">
      <c r="A775" s="3"/>
      <c r="B775" s="3"/>
      <c r="C775" s="7"/>
      <c r="D775" s="3"/>
      <c r="E775" s="3"/>
      <c r="F775" s="7"/>
      <c r="G775" s="4"/>
      <c r="H775" s="3"/>
      <c r="I775" s="3"/>
      <c r="J775" s="3"/>
      <c r="K775" s="3"/>
      <c r="L775" s="3"/>
      <c r="M775" s="3"/>
      <c r="N775" s="3"/>
      <c r="O775" s="3"/>
      <c r="P775" s="3"/>
      <c r="Q775" s="3"/>
      <c r="R775" s="3"/>
      <c r="S775" s="3"/>
      <c r="T775" s="3"/>
      <c r="U775" s="3"/>
      <c r="V775" s="3"/>
      <c r="W775" s="3"/>
      <c r="X775" s="3"/>
      <c r="Y775" s="3"/>
      <c r="Z775" s="3"/>
    </row>
    <row r="776" ht="15.75" customHeight="1">
      <c r="A776" s="3"/>
      <c r="B776" s="3"/>
      <c r="C776" s="7"/>
      <c r="D776" s="3"/>
      <c r="E776" s="3"/>
      <c r="F776" s="7"/>
      <c r="G776" s="4"/>
      <c r="H776" s="3"/>
      <c r="I776" s="3"/>
      <c r="J776" s="3"/>
      <c r="K776" s="3"/>
      <c r="L776" s="3"/>
      <c r="M776" s="3"/>
      <c r="N776" s="3"/>
      <c r="O776" s="3"/>
      <c r="P776" s="3"/>
      <c r="Q776" s="3"/>
      <c r="R776" s="3"/>
      <c r="S776" s="3"/>
      <c r="T776" s="3"/>
      <c r="U776" s="3"/>
      <c r="V776" s="3"/>
      <c r="W776" s="3"/>
      <c r="X776" s="3"/>
      <c r="Y776" s="3"/>
      <c r="Z776" s="3"/>
    </row>
    <row r="777" ht="15.75" customHeight="1">
      <c r="A777" s="3"/>
      <c r="B777" s="3"/>
      <c r="C777" s="7"/>
      <c r="D777" s="3"/>
      <c r="E777" s="3"/>
      <c r="F777" s="7"/>
      <c r="G777" s="4"/>
      <c r="H777" s="3"/>
      <c r="I777" s="3"/>
      <c r="J777" s="3"/>
      <c r="K777" s="3"/>
      <c r="L777" s="3"/>
      <c r="M777" s="3"/>
      <c r="N777" s="3"/>
      <c r="O777" s="3"/>
      <c r="P777" s="3"/>
      <c r="Q777" s="3"/>
      <c r="R777" s="3"/>
      <c r="S777" s="3"/>
      <c r="T777" s="3"/>
      <c r="U777" s="3"/>
      <c r="V777" s="3"/>
      <c r="W777" s="3"/>
      <c r="X777" s="3"/>
      <c r="Y777" s="3"/>
      <c r="Z777" s="3"/>
    </row>
    <row r="778" ht="15.75" customHeight="1">
      <c r="A778" s="3"/>
      <c r="B778" s="3"/>
      <c r="C778" s="7"/>
      <c r="D778" s="3"/>
      <c r="E778" s="3"/>
      <c r="F778" s="7"/>
      <c r="G778" s="4"/>
      <c r="H778" s="3"/>
      <c r="I778" s="3"/>
      <c r="J778" s="3"/>
      <c r="K778" s="3"/>
      <c r="L778" s="3"/>
      <c r="M778" s="3"/>
      <c r="N778" s="3"/>
      <c r="O778" s="3"/>
      <c r="P778" s="3"/>
      <c r="Q778" s="3"/>
      <c r="R778" s="3"/>
      <c r="S778" s="3"/>
      <c r="T778" s="3"/>
      <c r="U778" s="3"/>
      <c r="V778" s="3"/>
      <c r="W778" s="3"/>
      <c r="X778" s="3"/>
      <c r="Y778" s="3"/>
      <c r="Z778" s="3"/>
    </row>
    <row r="779" ht="15.75" customHeight="1">
      <c r="A779" s="3"/>
      <c r="B779" s="3"/>
      <c r="C779" s="7"/>
      <c r="D779" s="3"/>
      <c r="E779" s="3"/>
      <c r="F779" s="7"/>
      <c r="G779" s="4"/>
      <c r="H779" s="3"/>
      <c r="I779" s="3"/>
      <c r="J779" s="3"/>
      <c r="K779" s="3"/>
      <c r="L779" s="3"/>
      <c r="M779" s="3"/>
      <c r="N779" s="3"/>
      <c r="O779" s="3"/>
      <c r="P779" s="3"/>
      <c r="Q779" s="3"/>
      <c r="R779" s="3"/>
      <c r="S779" s="3"/>
      <c r="T779" s="3"/>
      <c r="U779" s="3"/>
      <c r="V779" s="3"/>
      <c r="W779" s="3"/>
      <c r="X779" s="3"/>
      <c r="Y779" s="3"/>
      <c r="Z779" s="3"/>
    </row>
    <row r="780" ht="15.75" customHeight="1">
      <c r="A780" s="3"/>
      <c r="B780" s="3"/>
      <c r="C780" s="7"/>
      <c r="D780" s="3"/>
      <c r="E780" s="3"/>
      <c r="F780" s="7"/>
      <c r="G780" s="4"/>
      <c r="H780" s="3"/>
      <c r="I780" s="3"/>
      <c r="J780" s="3"/>
      <c r="K780" s="3"/>
      <c r="L780" s="3"/>
      <c r="M780" s="3"/>
      <c r="N780" s="3"/>
      <c r="O780" s="3"/>
      <c r="P780" s="3"/>
      <c r="Q780" s="3"/>
      <c r="R780" s="3"/>
      <c r="S780" s="3"/>
      <c r="T780" s="3"/>
      <c r="U780" s="3"/>
      <c r="V780" s="3"/>
      <c r="W780" s="3"/>
      <c r="X780" s="3"/>
      <c r="Y780" s="3"/>
      <c r="Z780" s="3"/>
    </row>
    <row r="781" ht="15.75" customHeight="1">
      <c r="A781" s="3"/>
      <c r="B781" s="3"/>
      <c r="C781" s="7"/>
      <c r="D781" s="3"/>
      <c r="E781" s="3"/>
      <c r="F781" s="7"/>
      <c r="G781" s="4"/>
      <c r="H781" s="3"/>
      <c r="I781" s="3"/>
      <c r="J781" s="3"/>
      <c r="K781" s="3"/>
      <c r="L781" s="3"/>
      <c r="M781" s="3"/>
      <c r="N781" s="3"/>
      <c r="O781" s="3"/>
      <c r="P781" s="3"/>
      <c r="Q781" s="3"/>
      <c r="R781" s="3"/>
      <c r="S781" s="3"/>
      <c r="T781" s="3"/>
      <c r="U781" s="3"/>
      <c r="V781" s="3"/>
      <c r="W781" s="3"/>
      <c r="X781" s="3"/>
      <c r="Y781" s="3"/>
      <c r="Z781" s="3"/>
    </row>
    <row r="782" ht="15.75" customHeight="1">
      <c r="A782" s="3"/>
      <c r="B782" s="3"/>
      <c r="C782" s="7"/>
      <c r="D782" s="3"/>
      <c r="E782" s="3"/>
      <c r="F782" s="7"/>
      <c r="G782" s="4"/>
      <c r="H782" s="3"/>
      <c r="I782" s="3"/>
      <c r="J782" s="3"/>
      <c r="K782" s="3"/>
      <c r="L782" s="3"/>
      <c r="M782" s="3"/>
      <c r="N782" s="3"/>
      <c r="O782" s="3"/>
      <c r="P782" s="3"/>
      <c r="Q782" s="3"/>
      <c r="R782" s="3"/>
      <c r="S782" s="3"/>
      <c r="T782" s="3"/>
      <c r="U782" s="3"/>
      <c r="V782" s="3"/>
      <c r="W782" s="3"/>
      <c r="X782" s="3"/>
      <c r="Y782" s="3"/>
      <c r="Z782" s="3"/>
    </row>
    <row r="783" ht="15.75" customHeight="1">
      <c r="A783" s="3"/>
      <c r="B783" s="3"/>
      <c r="C783" s="7"/>
      <c r="D783" s="3"/>
      <c r="E783" s="3"/>
      <c r="F783" s="7"/>
      <c r="G783" s="4"/>
      <c r="H783" s="3"/>
      <c r="I783" s="3"/>
      <c r="J783" s="3"/>
      <c r="K783" s="3"/>
      <c r="L783" s="3"/>
      <c r="M783" s="3"/>
      <c r="N783" s="3"/>
      <c r="O783" s="3"/>
      <c r="P783" s="3"/>
      <c r="Q783" s="3"/>
      <c r="R783" s="3"/>
      <c r="S783" s="3"/>
      <c r="T783" s="3"/>
      <c r="U783" s="3"/>
      <c r="V783" s="3"/>
      <c r="W783" s="3"/>
      <c r="X783" s="3"/>
      <c r="Y783" s="3"/>
      <c r="Z783" s="3"/>
    </row>
    <row r="784" ht="15.75" customHeight="1">
      <c r="A784" s="3"/>
      <c r="B784" s="3"/>
      <c r="C784" s="7"/>
      <c r="D784" s="3"/>
      <c r="E784" s="3"/>
      <c r="F784" s="7"/>
      <c r="G784" s="4"/>
      <c r="H784" s="3"/>
      <c r="I784" s="3"/>
      <c r="J784" s="3"/>
      <c r="K784" s="3"/>
      <c r="L784" s="3"/>
      <c r="M784" s="3"/>
      <c r="N784" s="3"/>
      <c r="O784" s="3"/>
      <c r="P784" s="3"/>
      <c r="Q784" s="3"/>
      <c r="R784" s="3"/>
      <c r="S784" s="3"/>
      <c r="T784" s="3"/>
      <c r="U784" s="3"/>
      <c r="V784" s="3"/>
      <c r="W784" s="3"/>
      <c r="X784" s="3"/>
      <c r="Y784" s="3"/>
      <c r="Z784" s="3"/>
    </row>
    <row r="785" ht="15.75" customHeight="1">
      <c r="A785" s="3"/>
      <c r="B785" s="3"/>
      <c r="C785" s="7"/>
      <c r="D785" s="3"/>
      <c r="E785" s="3"/>
      <c r="F785" s="7"/>
      <c r="G785" s="4"/>
      <c r="H785" s="3"/>
      <c r="I785" s="3"/>
      <c r="J785" s="3"/>
      <c r="K785" s="3"/>
      <c r="L785" s="3"/>
      <c r="M785" s="3"/>
      <c r="N785" s="3"/>
      <c r="O785" s="3"/>
      <c r="P785" s="3"/>
      <c r="Q785" s="3"/>
      <c r="R785" s="3"/>
      <c r="S785" s="3"/>
      <c r="T785" s="3"/>
      <c r="U785" s="3"/>
      <c r="V785" s="3"/>
      <c r="W785" s="3"/>
      <c r="X785" s="3"/>
      <c r="Y785" s="3"/>
      <c r="Z785" s="3"/>
    </row>
    <row r="786" ht="15.75" customHeight="1">
      <c r="A786" s="3"/>
      <c r="B786" s="3"/>
      <c r="C786" s="7"/>
      <c r="D786" s="3"/>
      <c r="E786" s="3"/>
      <c r="F786" s="7"/>
      <c r="G786" s="4"/>
      <c r="H786" s="3"/>
      <c r="I786" s="3"/>
      <c r="J786" s="3"/>
      <c r="K786" s="3"/>
      <c r="L786" s="3"/>
      <c r="M786" s="3"/>
      <c r="N786" s="3"/>
      <c r="O786" s="3"/>
      <c r="P786" s="3"/>
      <c r="Q786" s="3"/>
      <c r="R786" s="3"/>
      <c r="S786" s="3"/>
      <c r="T786" s="3"/>
      <c r="U786" s="3"/>
      <c r="V786" s="3"/>
      <c r="W786" s="3"/>
      <c r="X786" s="3"/>
      <c r="Y786" s="3"/>
      <c r="Z786" s="3"/>
    </row>
    <row r="787" ht="15.75" customHeight="1">
      <c r="A787" s="3"/>
      <c r="B787" s="3"/>
      <c r="C787" s="7"/>
      <c r="D787" s="3"/>
      <c r="E787" s="3"/>
      <c r="F787" s="7"/>
      <c r="G787" s="4"/>
      <c r="H787" s="3"/>
      <c r="I787" s="3"/>
      <c r="J787" s="3"/>
      <c r="K787" s="3"/>
      <c r="L787" s="3"/>
      <c r="M787" s="3"/>
      <c r="N787" s="3"/>
      <c r="O787" s="3"/>
      <c r="P787" s="3"/>
      <c r="Q787" s="3"/>
      <c r="R787" s="3"/>
      <c r="S787" s="3"/>
      <c r="T787" s="3"/>
      <c r="U787" s="3"/>
      <c r="V787" s="3"/>
      <c r="W787" s="3"/>
      <c r="X787" s="3"/>
      <c r="Y787" s="3"/>
      <c r="Z787" s="3"/>
    </row>
    <row r="788" ht="15.75" customHeight="1">
      <c r="A788" s="3"/>
      <c r="B788" s="3"/>
      <c r="C788" s="7"/>
      <c r="D788" s="3"/>
      <c r="E788" s="3"/>
      <c r="F788" s="7"/>
      <c r="G788" s="4"/>
      <c r="H788" s="3"/>
      <c r="I788" s="3"/>
      <c r="J788" s="3"/>
      <c r="K788" s="3"/>
      <c r="L788" s="3"/>
      <c r="M788" s="3"/>
      <c r="N788" s="3"/>
      <c r="O788" s="3"/>
      <c r="P788" s="3"/>
      <c r="Q788" s="3"/>
      <c r="R788" s="3"/>
      <c r="S788" s="3"/>
      <c r="T788" s="3"/>
      <c r="U788" s="3"/>
      <c r="V788" s="3"/>
      <c r="W788" s="3"/>
      <c r="X788" s="3"/>
      <c r="Y788" s="3"/>
      <c r="Z788" s="3"/>
    </row>
    <row r="789" ht="15.75" customHeight="1">
      <c r="A789" s="3"/>
      <c r="B789" s="3"/>
      <c r="C789" s="7"/>
      <c r="D789" s="3"/>
      <c r="E789" s="3"/>
      <c r="F789" s="7"/>
      <c r="G789" s="4"/>
      <c r="H789" s="3"/>
      <c r="I789" s="3"/>
      <c r="J789" s="3"/>
      <c r="K789" s="3"/>
      <c r="L789" s="3"/>
      <c r="M789" s="3"/>
      <c r="N789" s="3"/>
      <c r="O789" s="3"/>
      <c r="P789" s="3"/>
      <c r="Q789" s="3"/>
      <c r="R789" s="3"/>
      <c r="S789" s="3"/>
      <c r="T789" s="3"/>
      <c r="U789" s="3"/>
      <c r="V789" s="3"/>
      <c r="W789" s="3"/>
      <c r="X789" s="3"/>
      <c r="Y789" s="3"/>
      <c r="Z789" s="3"/>
    </row>
    <row r="790" ht="15.75" customHeight="1">
      <c r="A790" s="3"/>
      <c r="B790" s="3"/>
      <c r="C790" s="7"/>
      <c r="D790" s="3"/>
      <c r="E790" s="3"/>
      <c r="F790" s="7"/>
      <c r="G790" s="4"/>
      <c r="H790" s="3"/>
      <c r="I790" s="3"/>
      <c r="J790" s="3"/>
      <c r="K790" s="3"/>
      <c r="L790" s="3"/>
      <c r="M790" s="3"/>
      <c r="N790" s="3"/>
      <c r="O790" s="3"/>
      <c r="P790" s="3"/>
      <c r="Q790" s="3"/>
      <c r="R790" s="3"/>
      <c r="S790" s="3"/>
      <c r="T790" s="3"/>
      <c r="U790" s="3"/>
      <c r="V790" s="3"/>
      <c r="W790" s="3"/>
      <c r="X790" s="3"/>
      <c r="Y790" s="3"/>
      <c r="Z790" s="3"/>
    </row>
    <row r="791" ht="15.75" customHeight="1">
      <c r="A791" s="3"/>
      <c r="B791" s="3"/>
      <c r="C791" s="7"/>
      <c r="D791" s="3"/>
      <c r="E791" s="3"/>
      <c r="F791" s="7"/>
      <c r="G791" s="4"/>
      <c r="H791" s="3"/>
      <c r="I791" s="3"/>
      <c r="J791" s="3"/>
      <c r="K791" s="3"/>
      <c r="L791" s="3"/>
      <c r="M791" s="3"/>
      <c r="N791" s="3"/>
      <c r="O791" s="3"/>
      <c r="P791" s="3"/>
      <c r="Q791" s="3"/>
      <c r="R791" s="3"/>
      <c r="S791" s="3"/>
      <c r="T791" s="3"/>
      <c r="U791" s="3"/>
      <c r="V791" s="3"/>
      <c r="W791" s="3"/>
      <c r="X791" s="3"/>
      <c r="Y791" s="3"/>
      <c r="Z791" s="3"/>
    </row>
    <row r="792" ht="15.75" customHeight="1">
      <c r="A792" s="3"/>
      <c r="B792" s="3"/>
      <c r="C792" s="7"/>
      <c r="D792" s="3"/>
      <c r="E792" s="3"/>
      <c r="F792" s="7"/>
      <c r="G792" s="4"/>
      <c r="H792" s="3"/>
      <c r="I792" s="3"/>
      <c r="J792" s="3"/>
      <c r="K792" s="3"/>
      <c r="L792" s="3"/>
      <c r="M792" s="3"/>
      <c r="N792" s="3"/>
      <c r="O792" s="3"/>
      <c r="P792" s="3"/>
      <c r="Q792" s="3"/>
      <c r="R792" s="3"/>
      <c r="S792" s="3"/>
      <c r="T792" s="3"/>
      <c r="U792" s="3"/>
      <c r="V792" s="3"/>
      <c r="W792" s="3"/>
      <c r="X792" s="3"/>
      <c r="Y792" s="3"/>
      <c r="Z792" s="3"/>
    </row>
    <row r="793" ht="15.75" customHeight="1">
      <c r="A793" s="3"/>
      <c r="B793" s="3"/>
      <c r="C793" s="7"/>
      <c r="D793" s="3"/>
      <c r="E793" s="3"/>
      <c r="F793" s="7"/>
      <c r="G793" s="4"/>
      <c r="H793" s="3"/>
      <c r="I793" s="3"/>
      <c r="J793" s="3"/>
      <c r="K793" s="3"/>
      <c r="L793" s="3"/>
      <c r="M793" s="3"/>
      <c r="N793" s="3"/>
      <c r="O793" s="3"/>
      <c r="P793" s="3"/>
      <c r="Q793" s="3"/>
      <c r="R793" s="3"/>
      <c r="S793" s="3"/>
      <c r="T793" s="3"/>
      <c r="U793" s="3"/>
      <c r="V793" s="3"/>
      <c r="W793" s="3"/>
      <c r="X793" s="3"/>
      <c r="Y793" s="3"/>
      <c r="Z793" s="3"/>
    </row>
    <row r="794" ht="15.75" customHeight="1">
      <c r="A794" s="3"/>
      <c r="B794" s="3"/>
      <c r="C794" s="7"/>
      <c r="D794" s="3"/>
      <c r="E794" s="3"/>
      <c r="F794" s="7"/>
      <c r="G794" s="4"/>
      <c r="H794" s="3"/>
      <c r="I794" s="3"/>
      <c r="J794" s="3"/>
      <c r="K794" s="3"/>
      <c r="L794" s="3"/>
      <c r="M794" s="3"/>
      <c r="N794" s="3"/>
      <c r="O794" s="3"/>
      <c r="P794" s="3"/>
      <c r="Q794" s="3"/>
      <c r="R794" s="3"/>
      <c r="S794" s="3"/>
      <c r="T794" s="3"/>
      <c r="U794" s="3"/>
      <c r="V794" s="3"/>
      <c r="W794" s="3"/>
      <c r="X794" s="3"/>
      <c r="Y794" s="3"/>
      <c r="Z794" s="3"/>
    </row>
    <row r="795" ht="15.75" customHeight="1">
      <c r="A795" s="3"/>
      <c r="B795" s="3"/>
      <c r="C795" s="7"/>
      <c r="D795" s="3"/>
      <c r="E795" s="3"/>
      <c r="F795" s="7"/>
      <c r="G795" s="4"/>
      <c r="H795" s="3"/>
      <c r="I795" s="3"/>
      <c r="J795" s="3"/>
      <c r="K795" s="3"/>
      <c r="L795" s="3"/>
      <c r="M795" s="3"/>
      <c r="N795" s="3"/>
      <c r="O795" s="3"/>
      <c r="P795" s="3"/>
      <c r="Q795" s="3"/>
      <c r="R795" s="3"/>
      <c r="S795" s="3"/>
      <c r="T795" s="3"/>
      <c r="U795" s="3"/>
      <c r="V795" s="3"/>
      <c r="W795" s="3"/>
      <c r="X795" s="3"/>
      <c r="Y795" s="3"/>
      <c r="Z795" s="3"/>
    </row>
    <row r="796" ht="15.75" customHeight="1">
      <c r="A796" s="3"/>
      <c r="B796" s="3"/>
      <c r="C796" s="7"/>
      <c r="D796" s="3"/>
      <c r="E796" s="3"/>
      <c r="F796" s="7"/>
      <c r="G796" s="4"/>
      <c r="H796" s="3"/>
      <c r="I796" s="3"/>
      <c r="J796" s="3"/>
      <c r="K796" s="3"/>
      <c r="L796" s="3"/>
      <c r="M796" s="3"/>
      <c r="N796" s="3"/>
      <c r="O796" s="3"/>
      <c r="P796" s="3"/>
      <c r="Q796" s="3"/>
      <c r="R796" s="3"/>
      <c r="S796" s="3"/>
      <c r="T796" s="3"/>
      <c r="U796" s="3"/>
      <c r="V796" s="3"/>
      <c r="W796" s="3"/>
      <c r="X796" s="3"/>
      <c r="Y796" s="3"/>
      <c r="Z796" s="3"/>
    </row>
    <row r="797" ht="15.75" customHeight="1">
      <c r="A797" s="3"/>
      <c r="B797" s="3"/>
      <c r="C797" s="7"/>
      <c r="D797" s="3"/>
      <c r="E797" s="3"/>
      <c r="F797" s="7"/>
      <c r="G797" s="4"/>
      <c r="H797" s="3"/>
      <c r="I797" s="3"/>
      <c r="J797" s="3"/>
      <c r="K797" s="3"/>
      <c r="L797" s="3"/>
      <c r="M797" s="3"/>
      <c r="N797" s="3"/>
      <c r="O797" s="3"/>
      <c r="P797" s="3"/>
      <c r="Q797" s="3"/>
      <c r="R797" s="3"/>
      <c r="S797" s="3"/>
      <c r="T797" s="3"/>
      <c r="U797" s="3"/>
      <c r="V797" s="3"/>
      <c r="W797" s="3"/>
      <c r="X797" s="3"/>
      <c r="Y797" s="3"/>
      <c r="Z797" s="3"/>
    </row>
    <row r="798" ht="15.75" customHeight="1">
      <c r="A798" s="3"/>
      <c r="B798" s="3"/>
      <c r="C798" s="7"/>
      <c r="D798" s="3"/>
      <c r="E798" s="3"/>
      <c r="F798" s="7"/>
      <c r="G798" s="4"/>
      <c r="H798" s="3"/>
      <c r="I798" s="3"/>
      <c r="J798" s="3"/>
      <c r="K798" s="3"/>
      <c r="L798" s="3"/>
      <c r="M798" s="3"/>
      <c r="N798" s="3"/>
      <c r="O798" s="3"/>
      <c r="P798" s="3"/>
      <c r="Q798" s="3"/>
      <c r="R798" s="3"/>
      <c r="S798" s="3"/>
      <c r="T798" s="3"/>
      <c r="U798" s="3"/>
      <c r="V798" s="3"/>
      <c r="W798" s="3"/>
      <c r="X798" s="3"/>
      <c r="Y798" s="3"/>
      <c r="Z798" s="3"/>
    </row>
    <row r="799" ht="15.75" customHeight="1">
      <c r="A799" s="3"/>
      <c r="B799" s="3"/>
      <c r="C799" s="7"/>
      <c r="D799" s="3"/>
      <c r="E799" s="3"/>
      <c r="F799" s="7"/>
      <c r="G799" s="4"/>
      <c r="H799" s="3"/>
      <c r="I799" s="3"/>
      <c r="J799" s="3"/>
      <c r="K799" s="3"/>
      <c r="L799" s="3"/>
      <c r="M799" s="3"/>
      <c r="N799" s="3"/>
      <c r="O799" s="3"/>
      <c r="P799" s="3"/>
      <c r="Q799" s="3"/>
      <c r="R799" s="3"/>
      <c r="S799" s="3"/>
      <c r="T799" s="3"/>
      <c r="U799" s="3"/>
      <c r="V799" s="3"/>
      <c r="W799" s="3"/>
      <c r="X799" s="3"/>
      <c r="Y799" s="3"/>
      <c r="Z799" s="3"/>
    </row>
    <row r="800" ht="15.75" customHeight="1">
      <c r="A800" s="3"/>
      <c r="B800" s="3"/>
      <c r="C800" s="7"/>
      <c r="D800" s="3"/>
      <c r="E800" s="3"/>
      <c r="F800" s="7"/>
      <c r="G800" s="4"/>
      <c r="H800" s="3"/>
      <c r="I800" s="3"/>
      <c r="J800" s="3"/>
      <c r="K800" s="3"/>
      <c r="L800" s="3"/>
      <c r="M800" s="3"/>
      <c r="N800" s="3"/>
      <c r="O800" s="3"/>
      <c r="P800" s="3"/>
      <c r="Q800" s="3"/>
      <c r="R800" s="3"/>
      <c r="S800" s="3"/>
      <c r="T800" s="3"/>
      <c r="U800" s="3"/>
      <c r="V800" s="3"/>
      <c r="W800" s="3"/>
      <c r="X800" s="3"/>
      <c r="Y800" s="3"/>
      <c r="Z800" s="3"/>
    </row>
    <row r="801" ht="15.75" customHeight="1">
      <c r="A801" s="3"/>
      <c r="B801" s="3"/>
      <c r="C801" s="7"/>
      <c r="D801" s="3"/>
      <c r="E801" s="3"/>
      <c r="F801" s="7"/>
      <c r="G801" s="4"/>
      <c r="H801" s="3"/>
      <c r="I801" s="3"/>
      <c r="J801" s="3"/>
      <c r="K801" s="3"/>
      <c r="L801" s="3"/>
      <c r="M801" s="3"/>
      <c r="N801" s="3"/>
      <c r="O801" s="3"/>
      <c r="P801" s="3"/>
      <c r="Q801" s="3"/>
      <c r="R801" s="3"/>
      <c r="S801" s="3"/>
      <c r="T801" s="3"/>
      <c r="U801" s="3"/>
      <c r="V801" s="3"/>
      <c r="W801" s="3"/>
      <c r="X801" s="3"/>
      <c r="Y801" s="3"/>
      <c r="Z801" s="3"/>
    </row>
    <row r="802" ht="15.75" customHeight="1">
      <c r="A802" s="3"/>
      <c r="B802" s="3"/>
      <c r="C802" s="7"/>
      <c r="D802" s="3"/>
      <c r="E802" s="3"/>
      <c r="F802" s="7"/>
      <c r="G802" s="4"/>
      <c r="H802" s="3"/>
      <c r="I802" s="3"/>
      <c r="J802" s="3"/>
      <c r="K802" s="3"/>
      <c r="L802" s="3"/>
      <c r="M802" s="3"/>
      <c r="N802" s="3"/>
      <c r="O802" s="3"/>
      <c r="P802" s="3"/>
      <c r="Q802" s="3"/>
      <c r="R802" s="3"/>
      <c r="S802" s="3"/>
      <c r="T802" s="3"/>
      <c r="U802" s="3"/>
      <c r="V802" s="3"/>
      <c r="W802" s="3"/>
      <c r="X802" s="3"/>
      <c r="Y802" s="3"/>
      <c r="Z802" s="3"/>
    </row>
    <row r="803" ht="15.75" customHeight="1">
      <c r="A803" s="3"/>
      <c r="B803" s="3"/>
      <c r="C803" s="7"/>
      <c r="D803" s="3"/>
      <c r="E803" s="3"/>
      <c r="F803" s="7"/>
      <c r="G803" s="4"/>
      <c r="H803" s="3"/>
      <c r="I803" s="3"/>
      <c r="J803" s="3"/>
      <c r="K803" s="3"/>
      <c r="L803" s="3"/>
      <c r="M803" s="3"/>
      <c r="N803" s="3"/>
      <c r="O803" s="3"/>
      <c r="P803" s="3"/>
      <c r="Q803" s="3"/>
      <c r="R803" s="3"/>
      <c r="S803" s="3"/>
      <c r="T803" s="3"/>
      <c r="U803" s="3"/>
      <c r="V803" s="3"/>
      <c r="W803" s="3"/>
      <c r="X803" s="3"/>
      <c r="Y803" s="3"/>
      <c r="Z803" s="3"/>
    </row>
    <row r="804" ht="15.75" customHeight="1">
      <c r="A804" s="3"/>
      <c r="B804" s="3"/>
      <c r="C804" s="7"/>
      <c r="D804" s="3"/>
      <c r="E804" s="3"/>
      <c r="F804" s="7"/>
      <c r="G804" s="4"/>
      <c r="H804" s="3"/>
      <c r="I804" s="3"/>
      <c r="J804" s="3"/>
      <c r="K804" s="3"/>
      <c r="L804" s="3"/>
      <c r="M804" s="3"/>
      <c r="N804" s="3"/>
      <c r="O804" s="3"/>
      <c r="P804" s="3"/>
      <c r="Q804" s="3"/>
      <c r="R804" s="3"/>
      <c r="S804" s="3"/>
      <c r="T804" s="3"/>
      <c r="U804" s="3"/>
      <c r="V804" s="3"/>
      <c r="W804" s="3"/>
      <c r="X804" s="3"/>
      <c r="Y804" s="3"/>
      <c r="Z804" s="3"/>
    </row>
    <row r="805" ht="15.75" customHeight="1">
      <c r="A805" s="3"/>
      <c r="B805" s="3"/>
      <c r="C805" s="7"/>
      <c r="D805" s="3"/>
      <c r="E805" s="3"/>
      <c r="F805" s="7"/>
      <c r="G805" s="4"/>
      <c r="H805" s="3"/>
      <c r="I805" s="3"/>
      <c r="J805" s="3"/>
      <c r="K805" s="3"/>
      <c r="L805" s="3"/>
      <c r="M805" s="3"/>
      <c r="N805" s="3"/>
      <c r="O805" s="3"/>
      <c r="P805" s="3"/>
      <c r="Q805" s="3"/>
      <c r="R805" s="3"/>
      <c r="S805" s="3"/>
      <c r="T805" s="3"/>
      <c r="U805" s="3"/>
      <c r="V805" s="3"/>
      <c r="W805" s="3"/>
      <c r="X805" s="3"/>
      <c r="Y805" s="3"/>
      <c r="Z805" s="3"/>
    </row>
    <row r="806" ht="15.75" customHeight="1">
      <c r="A806" s="3"/>
      <c r="B806" s="3"/>
      <c r="C806" s="7"/>
      <c r="D806" s="3"/>
      <c r="E806" s="3"/>
      <c r="F806" s="7"/>
      <c r="G806" s="4"/>
      <c r="H806" s="3"/>
      <c r="I806" s="3"/>
      <c r="J806" s="3"/>
      <c r="K806" s="3"/>
      <c r="L806" s="3"/>
      <c r="M806" s="3"/>
      <c r="N806" s="3"/>
      <c r="O806" s="3"/>
      <c r="P806" s="3"/>
      <c r="Q806" s="3"/>
      <c r="R806" s="3"/>
      <c r="S806" s="3"/>
      <c r="T806" s="3"/>
      <c r="U806" s="3"/>
      <c r="V806" s="3"/>
      <c r="W806" s="3"/>
      <c r="X806" s="3"/>
      <c r="Y806" s="3"/>
      <c r="Z806" s="3"/>
    </row>
    <row r="807" ht="15.75" customHeight="1">
      <c r="A807" s="3"/>
      <c r="B807" s="3"/>
      <c r="C807" s="7"/>
      <c r="D807" s="3"/>
      <c r="E807" s="3"/>
      <c r="F807" s="7"/>
      <c r="G807" s="4"/>
      <c r="H807" s="3"/>
      <c r="I807" s="3"/>
      <c r="J807" s="3"/>
      <c r="K807" s="3"/>
      <c r="L807" s="3"/>
      <c r="M807" s="3"/>
      <c r="N807" s="3"/>
      <c r="O807" s="3"/>
      <c r="P807" s="3"/>
      <c r="Q807" s="3"/>
      <c r="R807" s="3"/>
      <c r="S807" s="3"/>
      <c r="T807" s="3"/>
      <c r="U807" s="3"/>
      <c r="V807" s="3"/>
      <c r="W807" s="3"/>
      <c r="X807" s="3"/>
      <c r="Y807" s="3"/>
      <c r="Z807" s="3"/>
    </row>
    <row r="808" ht="15.75" customHeight="1">
      <c r="A808" s="3"/>
      <c r="B808" s="3"/>
      <c r="C808" s="7"/>
      <c r="D808" s="3"/>
      <c r="E808" s="3"/>
      <c r="F808" s="7"/>
      <c r="G808" s="4"/>
      <c r="H808" s="3"/>
      <c r="I808" s="3"/>
      <c r="J808" s="3"/>
      <c r="K808" s="3"/>
      <c r="L808" s="3"/>
      <c r="M808" s="3"/>
      <c r="N808" s="3"/>
      <c r="O808" s="3"/>
      <c r="P808" s="3"/>
      <c r="Q808" s="3"/>
      <c r="R808" s="3"/>
      <c r="S808" s="3"/>
      <c r="T808" s="3"/>
      <c r="U808" s="3"/>
      <c r="V808" s="3"/>
      <c r="W808" s="3"/>
      <c r="X808" s="3"/>
      <c r="Y808" s="3"/>
      <c r="Z808" s="3"/>
    </row>
    <row r="809" ht="15.75" customHeight="1">
      <c r="A809" s="3"/>
      <c r="B809" s="3"/>
      <c r="C809" s="7"/>
      <c r="D809" s="3"/>
      <c r="E809" s="3"/>
      <c r="F809" s="7"/>
      <c r="G809" s="4"/>
      <c r="H809" s="3"/>
      <c r="I809" s="3"/>
      <c r="J809" s="3"/>
      <c r="K809" s="3"/>
      <c r="L809" s="3"/>
      <c r="M809" s="3"/>
      <c r="N809" s="3"/>
      <c r="O809" s="3"/>
      <c r="P809" s="3"/>
      <c r="Q809" s="3"/>
      <c r="R809" s="3"/>
      <c r="S809" s="3"/>
      <c r="T809" s="3"/>
      <c r="U809" s="3"/>
      <c r="V809" s="3"/>
      <c r="W809" s="3"/>
      <c r="X809" s="3"/>
      <c r="Y809" s="3"/>
      <c r="Z809" s="3"/>
    </row>
    <row r="810" ht="15.75" customHeight="1">
      <c r="A810" s="3"/>
      <c r="B810" s="3"/>
      <c r="C810" s="7"/>
      <c r="D810" s="3"/>
      <c r="E810" s="3"/>
      <c r="F810" s="7"/>
      <c r="G810" s="4"/>
      <c r="H810" s="3"/>
      <c r="I810" s="3"/>
      <c r="J810" s="3"/>
      <c r="K810" s="3"/>
      <c r="L810" s="3"/>
      <c r="M810" s="3"/>
      <c r="N810" s="3"/>
      <c r="O810" s="3"/>
      <c r="P810" s="3"/>
      <c r="Q810" s="3"/>
      <c r="R810" s="3"/>
      <c r="S810" s="3"/>
      <c r="T810" s="3"/>
      <c r="U810" s="3"/>
      <c r="V810" s="3"/>
      <c r="W810" s="3"/>
      <c r="X810" s="3"/>
      <c r="Y810" s="3"/>
      <c r="Z810" s="3"/>
    </row>
    <row r="811" ht="15.75" customHeight="1">
      <c r="A811" s="3"/>
      <c r="B811" s="3"/>
      <c r="C811" s="7"/>
      <c r="D811" s="3"/>
      <c r="E811" s="3"/>
      <c r="F811" s="7"/>
      <c r="G811" s="4"/>
      <c r="H811" s="3"/>
      <c r="I811" s="3"/>
      <c r="J811" s="3"/>
      <c r="K811" s="3"/>
      <c r="L811" s="3"/>
      <c r="M811" s="3"/>
      <c r="N811" s="3"/>
      <c r="O811" s="3"/>
      <c r="P811" s="3"/>
      <c r="Q811" s="3"/>
      <c r="R811" s="3"/>
      <c r="S811" s="3"/>
      <c r="T811" s="3"/>
      <c r="U811" s="3"/>
      <c r="V811" s="3"/>
      <c r="W811" s="3"/>
      <c r="X811" s="3"/>
      <c r="Y811" s="3"/>
      <c r="Z811" s="3"/>
    </row>
    <row r="812" ht="15.75" customHeight="1">
      <c r="A812" s="3"/>
      <c r="B812" s="3"/>
      <c r="C812" s="7"/>
      <c r="D812" s="3"/>
      <c r="E812" s="3"/>
      <c r="F812" s="7"/>
      <c r="G812" s="4"/>
      <c r="H812" s="3"/>
      <c r="I812" s="3"/>
      <c r="J812" s="3"/>
      <c r="K812" s="3"/>
      <c r="L812" s="3"/>
      <c r="M812" s="3"/>
      <c r="N812" s="3"/>
      <c r="O812" s="3"/>
      <c r="P812" s="3"/>
      <c r="Q812" s="3"/>
      <c r="R812" s="3"/>
      <c r="S812" s="3"/>
      <c r="T812" s="3"/>
      <c r="U812" s="3"/>
      <c r="V812" s="3"/>
      <c r="W812" s="3"/>
      <c r="X812" s="3"/>
      <c r="Y812" s="3"/>
      <c r="Z812" s="3"/>
    </row>
    <row r="813" ht="15.75" customHeight="1">
      <c r="A813" s="3"/>
      <c r="B813" s="3"/>
      <c r="C813" s="7"/>
      <c r="D813" s="3"/>
      <c r="E813" s="3"/>
      <c r="F813" s="7"/>
      <c r="G813" s="4"/>
      <c r="H813" s="3"/>
      <c r="I813" s="3"/>
      <c r="J813" s="3"/>
      <c r="K813" s="3"/>
      <c r="L813" s="3"/>
      <c r="M813" s="3"/>
      <c r="N813" s="3"/>
      <c r="O813" s="3"/>
      <c r="P813" s="3"/>
      <c r="Q813" s="3"/>
      <c r="R813" s="3"/>
      <c r="S813" s="3"/>
      <c r="T813" s="3"/>
      <c r="U813" s="3"/>
      <c r="V813" s="3"/>
      <c r="W813" s="3"/>
      <c r="X813" s="3"/>
      <c r="Y813" s="3"/>
      <c r="Z813" s="3"/>
    </row>
    <row r="814" ht="15.75" customHeight="1">
      <c r="A814" s="3"/>
      <c r="B814" s="3"/>
      <c r="C814" s="7"/>
      <c r="D814" s="3"/>
      <c r="E814" s="3"/>
      <c r="F814" s="7"/>
      <c r="G814" s="4"/>
      <c r="H814" s="3"/>
      <c r="I814" s="3"/>
      <c r="J814" s="3"/>
      <c r="K814" s="3"/>
      <c r="L814" s="3"/>
      <c r="M814" s="3"/>
      <c r="N814" s="3"/>
      <c r="O814" s="3"/>
      <c r="P814" s="3"/>
      <c r="Q814" s="3"/>
      <c r="R814" s="3"/>
      <c r="S814" s="3"/>
      <c r="T814" s="3"/>
      <c r="U814" s="3"/>
      <c r="V814" s="3"/>
      <c r="W814" s="3"/>
      <c r="X814" s="3"/>
      <c r="Y814" s="3"/>
      <c r="Z814" s="3"/>
    </row>
    <row r="815" ht="15.75" customHeight="1">
      <c r="A815" s="3"/>
      <c r="B815" s="3"/>
      <c r="C815" s="7"/>
      <c r="D815" s="3"/>
      <c r="E815" s="3"/>
      <c r="F815" s="7"/>
      <c r="G815" s="4"/>
      <c r="H815" s="3"/>
      <c r="I815" s="3"/>
      <c r="J815" s="3"/>
      <c r="K815" s="3"/>
      <c r="L815" s="3"/>
      <c r="M815" s="3"/>
      <c r="N815" s="3"/>
      <c r="O815" s="3"/>
      <c r="P815" s="3"/>
      <c r="Q815" s="3"/>
      <c r="R815" s="3"/>
      <c r="S815" s="3"/>
      <c r="T815" s="3"/>
      <c r="U815" s="3"/>
      <c r="V815" s="3"/>
      <c r="W815" s="3"/>
      <c r="X815" s="3"/>
      <c r="Y815" s="3"/>
      <c r="Z815" s="3"/>
    </row>
    <row r="816" ht="15.75" customHeight="1">
      <c r="A816" s="3"/>
      <c r="B816" s="3"/>
      <c r="C816" s="7"/>
      <c r="D816" s="3"/>
      <c r="E816" s="3"/>
      <c r="F816" s="7"/>
      <c r="G816" s="4"/>
      <c r="H816" s="3"/>
      <c r="I816" s="3"/>
      <c r="J816" s="3"/>
      <c r="K816" s="3"/>
      <c r="L816" s="3"/>
      <c r="M816" s="3"/>
      <c r="N816" s="3"/>
      <c r="O816" s="3"/>
      <c r="P816" s="3"/>
      <c r="Q816" s="3"/>
      <c r="R816" s="3"/>
      <c r="S816" s="3"/>
      <c r="T816" s="3"/>
      <c r="U816" s="3"/>
      <c r="V816" s="3"/>
      <c r="W816" s="3"/>
      <c r="X816" s="3"/>
      <c r="Y816" s="3"/>
      <c r="Z816" s="3"/>
    </row>
    <row r="817" ht="15.75" customHeight="1">
      <c r="A817" s="3"/>
      <c r="B817" s="3"/>
      <c r="C817" s="7"/>
      <c r="D817" s="3"/>
      <c r="E817" s="3"/>
      <c r="F817" s="7"/>
      <c r="G817" s="4"/>
      <c r="H817" s="3"/>
      <c r="I817" s="3"/>
      <c r="J817" s="3"/>
      <c r="K817" s="3"/>
      <c r="L817" s="3"/>
      <c r="M817" s="3"/>
      <c r="N817" s="3"/>
      <c r="O817" s="3"/>
      <c r="P817" s="3"/>
      <c r="Q817" s="3"/>
      <c r="R817" s="3"/>
      <c r="S817" s="3"/>
      <c r="T817" s="3"/>
      <c r="U817" s="3"/>
      <c r="V817" s="3"/>
      <c r="W817" s="3"/>
      <c r="X817" s="3"/>
      <c r="Y817" s="3"/>
      <c r="Z817" s="3"/>
    </row>
    <row r="818" ht="15.75" customHeight="1">
      <c r="A818" s="3"/>
      <c r="B818" s="3"/>
      <c r="C818" s="7"/>
      <c r="D818" s="3"/>
      <c r="E818" s="3"/>
      <c r="F818" s="7"/>
      <c r="G818" s="4"/>
      <c r="H818" s="3"/>
      <c r="I818" s="3"/>
      <c r="J818" s="3"/>
      <c r="K818" s="3"/>
      <c r="L818" s="3"/>
      <c r="M818" s="3"/>
      <c r="N818" s="3"/>
      <c r="O818" s="3"/>
      <c r="P818" s="3"/>
      <c r="Q818" s="3"/>
      <c r="R818" s="3"/>
      <c r="S818" s="3"/>
      <c r="T818" s="3"/>
      <c r="U818" s="3"/>
      <c r="V818" s="3"/>
      <c r="W818" s="3"/>
      <c r="X818" s="3"/>
      <c r="Y818" s="3"/>
      <c r="Z818" s="3"/>
    </row>
    <row r="819" ht="15.75" customHeight="1">
      <c r="A819" s="3"/>
      <c r="B819" s="3"/>
      <c r="C819" s="7"/>
      <c r="D819" s="3"/>
      <c r="E819" s="3"/>
      <c r="F819" s="7"/>
      <c r="G819" s="4"/>
      <c r="H819" s="3"/>
      <c r="I819" s="3"/>
      <c r="J819" s="3"/>
      <c r="K819" s="3"/>
      <c r="L819" s="3"/>
      <c r="M819" s="3"/>
      <c r="N819" s="3"/>
      <c r="O819" s="3"/>
      <c r="P819" s="3"/>
      <c r="Q819" s="3"/>
      <c r="R819" s="3"/>
      <c r="S819" s="3"/>
      <c r="T819" s="3"/>
      <c r="U819" s="3"/>
      <c r="V819" s="3"/>
      <c r="W819" s="3"/>
      <c r="X819" s="3"/>
      <c r="Y819" s="3"/>
      <c r="Z819" s="3"/>
    </row>
    <row r="820" ht="15.75" customHeight="1">
      <c r="A820" s="3"/>
      <c r="B820" s="3"/>
      <c r="C820" s="7"/>
      <c r="D820" s="3"/>
      <c r="E820" s="3"/>
      <c r="F820" s="7"/>
      <c r="G820" s="4"/>
      <c r="H820" s="3"/>
      <c r="I820" s="3"/>
      <c r="J820" s="3"/>
      <c r="K820" s="3"/>
      <c r="L820" s="3"/>
      <c r="M820" s="3"/>
      <c r="N820" s="3"/>
      <c r="O820" s="3"/>
      <c r="P820" s="3"/>
      <c r="Q820" s="3"/>
      <c r="R820" s="3"/>
      <c r="S820" s="3"/>
      <c r="T820" s="3"/>
      <c r="U820" s="3"/>
      <c r="V820" s="3"/>
      <c r="W820" s="3"/>
      <c r="X820" s="3"/>
      <c r="Y820" s="3"/>
      <c r="Z820" s="3"/>
    </row>
    <row r="821" ht="15.75" customHeight="1">
      <c r="A821" s="3"/>
      <c r="B821" s="3"/>
      <c r="C821" s="7"/>
      <c r="D821" s="3"/>
      <c r="E821" s="3"/>
      <c r="F821" s="7"/>
      <c r="G821" s="4"/>
      <c r="H821" s="3"/>
      <c r="I821" s="3"/>
      <c r="J821" s="3"/>
      <c r="K821" s="3"/>
      <c r="L821" s="3"/>
      <c r="M821" s="3"/>
      <c r="N821" s="3"/>
      <c r="O821" s="3"/>
      <c r="P821" s="3"/>
      <c r="Q821" s="3"/>
      <c r="R821" s="3"/>
      <c r="S821" s="3"/>
      <c r="T821" s="3"/>
      <c r="U821" s="3"/>
      <c r="V821" s="3"/>
      <c r="W821" s="3"/>
      <c r="X821" s="3"/>
      <c r="Y821" s="3"/>
      <c r="Z821" s="3"/>
    </row>
    <row r="822" ht="15.75" customHeight="1">
      <c r="A822" s="3"/>
      <c r="B822" s="3"/>
      <c r="C822" s="7"/>
      <c r="D822" s="3"/>
      <c r="E822" s="3"/>
      <c r="F822" s="7"/>
      <c r="G822" s="4"/>
      <c r="H822" s="3"/>
      <c r="I822" s="3"/>
      <c r="J822" s="3"/>
      <c r="K822" s="3"/>
      <c r="L822" s="3"/>
      <c r="M822" s="3"/>
      <c r="N822" s="3"/>
      <c r="O822" s="3"/>
      <c r="P822" s="3"/>
      <c r="Q822" s="3"/>
      <c r="R822" s="3"/>
      <c r="S822" s="3"/>
      <c r="T822" s="3"/>
      <c r="U822" s="3"/>
      <c r="V822" s="3"/>
      <c r="W822" s="3"/>
      <c r="X822" s="3"/>
      <c r="Y822" s="3"/>
      <c r="Z822" s="3"/>
    </row>
    <row r="823" ht="15.75" customHeight="1">
      <c r="A823" s="3"/>
      <c r="B823" s="3"/>
      <c r="C823" s="7"/>
      <c r="D823" s="3"/>
      <c r="E823" s="3"/>
      <c r="F823" s="7"/>
      <c r="G823" s="4"/>
      <c r="H823" s="3"/>
      <c r="I823" s="3"/>
      <c r="J823" s="3"/>
      <c r="K823" s="3"/>
      <c r="L823" s="3"/>
      <c r="M823" s="3"/>
      <c r="N823" s="3"/>
      <c r="O823" s="3"/>
      <c r="P823" s="3"/>
      <c r="Q823" s="3"/>
      <c r="R823" s="3"/>
      <c r="S823" s="3"/>
      <c r="T823" s="3"/>
      <c r="U823" s="3"/>
      <c r="V823" s="3"/>
      <c r="W823" s="3"/>
      <c r="X823" s="3"/>
      <c r="Y823" s="3"/>
      <c r="Z823" s="3"/>
    </row>
    <row r="824" ht="15.75" customHeight="1">
      <c r="A824" s="3"/>
      <c r="B824" s="3"/>
      <c r="C824" s="7"/>
      <c r="D824" s="3"/>
      <c r="E824" s="3"/>
      <c r="F824" s="7"/>
      <c r="G824" s="4"/>
      <c r="H824" s="3"/>
      <c r="I824" s="3"/>
      <c r="J824" s="3"/>
      <c r="K824" s="3"/>
      <c r="L824" s="3"/>
      <c r="M824" s="3"/>
      <c r="N824" s="3"/>
      <c r="O824" s="3"/>
      <c r="P824" s="3"/>
      <c r="Q824" s="3"/>
      <c r="R824" s="3"/>
      <c r="S824" s="3"/>
      <c r="T824" s="3"/>
      <c r="U824" s="3"/>
      <c r="V824" s="3"/>
      <c r="W824" s="3"/>
      <c r="X824" s="3"/>
      <c r="Y824" s="3"/>
      <c r="Z824" s="3"/>
    </row>
    <row r="825" ht="15.75" customHeight="1">
      <c r="A825" s="3"/>
      <c r="B825" s="3"/>
      <c r="C825" s="7"/>
      <c r="D825" s="3"/>
      <c r="E825" s="3"/>
      <c r="F825" s="7"/>
      <c r="G825" s="4"/>
      <c r="H825" s="3"/>
      <c r="I825" s="3"/>
      <c r="J825" s="3"/>
      <c r="K825" s="3"/>
      <c r="L825" s="3"/>
      <c r="M825" s="3"/>
      <c r="N825" s="3"/>
      <c r="O825" s="3"/>
      <c r="P825" s="3"/>
      <c r="Q825" s="3"/>
      <c r="R825" s="3"/>
      <c r="S825" s="3"/>
      <c r="T825" s="3"/>
      <c r="U825" s="3"/>
      <c r="V825" s="3"/>
      <c r="W825" s="3"/>
      <c r="X825" s="3"/>
      <c r="Y825" s="3"/>
      <c r="Z825" s="3"/>
    </row>
    <row r="826" ht="15.75" customHeight="1">
      <c r="A826" s="3"/>
      <c r="B826" s="3"/>
      <c r="C826" s="7"/>
      <c r="D826" s="3"/>
      <c r="E826" s="3"/>
      <c r="F826" s="7"/>
      <c r="G826" s="4"/>
      <c r="H826" s="3"/>
      <c r="I826" s="3"/>
      <c r="J826" s="3"/>
      <c r="K826" s="3"/>
      <c r="L826" s="3"/>
      <c r="M826" s="3"/>
      <c r="N826" s="3"/>
      <c r="O826" s="3"/>
      <c r="P826" s="3"/>
      <c r="Q826" s="3"/>
      <c r="R826" s="3"/>
      <c r="S826" s="3"/>
      <c r="T826" s="3"/>
      <c r="U826" s="3"/>
      <c r="V826" s="3"/>
      <c r="W826" s="3"/>
      <c r="X826" s="3"/>
      <c r="Y826" s="3"/>
      <c r="Z826" s="3"/>
    </row>
    <row r="827" ht="15.75" customHeight="1">
      <c r="A827" s="3"/>
      <c r="B827" s="3"/>
      <c r="C827" s="7"/>
      <c r="D827" s="3"/>
      <c r="E827" s="3"/>
      <c r="F827" s="7"/>
      <c r="G827" s="4"/>
      <c r="H827" s="3"/>
      <c r="I827" s="3"/>
      <c r="J827" s="3"/>
      <c r="K827" s="3"/>
      <c r="L827" s="3"/>
      <c r="M827" s="3"/>
      <c r="N827" s="3"/>
      <c r="O827" s="3"/>
      <c r="P827" s="3"/>
      <c r="Q827" s="3"/>
      <c r="R827" s="3"/>
      <c r="S827" s="3"/>
      <c r="T827" s="3"/>
      <c r="U827" s="3"/>
      <c r="V827" s="3"/>
      <c r="W827" s="3"/>
      <c r="X827" s="3"/>
      <c r="Y827" s="3"/>
      <c r="Z827" s="3"/>
    </row>
    <row r="828" ht="15.75" customHeight="1">
      <c r="A828" s="3"/>
      <c r="B828" s="3"/>
      <c r="C828" s="7"/>
      <c r="D828" s="3"/>
      <c r="E828" s="3"/>
      <c r="F828" s="7"/>
      <c r="G828" s="4"/>
      <c r="H828" s="3"/>
      <c r="I828" s="3"/>
      <c r="J828" s="3"/>
      <c r="K828" s="3"/>
      <c r="L828" s="3"/>
      <c r="M828" s="3"/>
      <c r="N828" s="3"/>
      <c r="O828" s="3"/>
      <c r="P828" s="3"/>
      <c r="Q828" s="3"/>
      <c r="R828" s="3"/>
      <c r="S828" s="3"/>
      <c r="T828" s="3"/>
      <c r="U828" s="3"/>
      <c r="V828" s="3"/>
      <c r="W828" s="3"/>
      <c r="X828" s="3"/>
      <c r="Y828" s="3"/>
      <c r="Z828" s="3"/>
    </row>
    <row r="829" ht="15.75" customHeight="1">
      <c r="A829" s="3"/>
      <c r="B829" s="3"/>
      <c r="C829" s="7"/>
      <c r="D829" s="3"/>
      <c r="E829" s="3"/>
      <c r="F829" s="7"/>
      <c r="G829" s="4"/>
      <c r="H829" s="3"/>
      <c r="I829" s="3"/>
      <c r="J829" s="3"/>
      <c r="K829" s="3"/>
      <c r="L829" s="3"/>
      <c r="M829" s="3"/>
      <c r="N829" s="3"/>
      <c r="O829" s="3"/>
      <c r="P829" s="3"/>
      <c r="Q829" s="3"/>
      <c r="R829" s="3"/>
      <c r="S829" s="3"/>
      <c r="T829" s="3"/>
      <c r="U829" s="3"/>
      <c r="V829" s="3"/>
      <c r="W829" s="3"/>
      <c r="X829" s="3"/>
      <c r="Y829" s="3"/>
      <c r="Z829" s="3"/>
    </row>
    <row r="830" ht="15.75" customHeight="1">
      <c r="A830" s="3"/>
      <c r="B830" s="3"/>
      <c r="C830" s="7"/>
      <c r="D830" s="3"/>
      <c r="E830" s="3"/>
      <c r="F830" s="7"/>
      <c r="G830" s="4"/>
      <c r="H830" s="3"/>
      <c r="I830" s="3"/>
      <c r="J830" s="3"/>
      <c r="K830" s="3"/>
      <c r="L830" s="3"/>
      <c r="M830" s="3"/>
      <c r="N830" s="3"/>
      <c r="O830" s="3"/>
      <c r="P830" s="3"/>
      <c r="Q830" s="3"/>
      <c r="R830" s="3"/>
      <c r="S830" s="3"/>
      <c r="T830" s="3"/>
      <c r="U830" s="3"/>
      <c r="V830" s="3"/>
      <c r="W830" s="3"/>
      <c r="X830" s="3"/>
      <c r="Y830" s="3"/>
      <c r="Z830" s="3"/>
    </row>
    <row r="831" ht="15.75" customHeight="1">
      <c r="A831" s="3"/>
      <c r="B831" s="3"/>
      <c r="C831" s="7"/>
      <c r="D831" s="3"/>
      <c r="E831" s="3"/>
      <c r="F831" s="7"/>
      <c r="G831" s="4"/>
      <c r="H831" s="3"/>
      <c r="I831" s="3"/>
      <c r="J831" s="3"/>
      <c r="K831" s="3"/>
      <c r="L831" s="3"/>
      <c r="M831" s="3"/>
      <c r="N831" s="3"/>
      <c r="O831" s="3"/>
      <c r="P831" s="3"/>
      <c r="Q831" s="3"/>
      <c r="R831" s="3"/>
      <c r="S831" s="3"/>
      <c r="T831" s="3"/>
      <c r="U831" s="3"/>
      <c r="V831" s="3"/>
      <c r="W831" s="3"/>
      <c r="X831" s="3"/>
      <c r="Y831" s="3"/>
      <c r="Z831" s="3"/>
    </row>
    <row r="832" ht="15.75" customHeight="1">
      <c r="A832" s="3"/>
      <c r="B832" s="3"/>
      <c r="C832" s="7"/>
      <c r="D832" s="3"/>
      <c r="E832" s="3"/>
      <c r="F832" s="7"/>
      <c r="G832" s="4"/>
      <c r="H832" s="3"/>
      <c r="I832" s="3"/>
      <c r="J832" s="3"/>
      <c r="K832" s="3"/>
      <c r="L832" s="3"/>
      <c r="M832" s="3"/>
      <c r="N832" s="3"/>
      <c r="O832" s="3"/>
      <c r="P832" s="3"/>
      <c r="Q832" s="3"/>
      <c r="R832" s="3"/>
      <c r="S832" s="3"/>
      <c r="T832" s="3"/>
      <c r="U832" s="3"/>
      <c r="V832" s="3"/>
      <c r="W832" s="3"/>
      <c r="X832" s="3"/>
      <c r="Y832" s="3"/>
      <c r="Z832" s="3"/>
    </row>
    <row r="833" ht="15.75" customHeight="1">
      <c r="A833" s="3"/>
      <c r="B833" s="3"/>
      <c r="C833" s="7"/>
      <c r="D833" s="3"/>
      <c r="E833" s="3"/>
      <c r="F833" s="7"/>
      <c r="G833" s="4"/>
      <c r="H833" s="3"/>
      <c r="I833" s="3"/>
      <c r="J833" s="3"/>
      <c r="K833" s="3"/>
      <c r="L833" s="3"/>
      <c r="M833" s="3"/>
      <c r="N833" s="3"/>
      <c r="O833" s="3"/>
      <c r="P833" s="3"/>
      <c r="Q833" s="3"/>
      <c r="R833" s="3"/>
      <c r="S833" s="3"/>
      <c r="T833" s="3"/>
      <c r="U833" s="3"/>
      <c r="V833" s="3"/>
      <c r="W833" s="3"/>
      <c r="X833" s="3"/>
      <c r="Y833" s="3"/>
      <c r="Z833" s="3"/>
    </row>
    <row r="834" ht="15.75" customHeight="1">
      <c r="A834" s="3"/>
      <c r="B834" s="3"/>
      <c r="C834" s="7"/>
      <c r="D834" s="3"/>
      <c r="E834" s="3"/>
      <c r="F834" s="7"/>
      <c r="G834" s="4"/>
      <c r="H834" s="3"/>
      <c r="I834" s="3"/>
      <c r="J834" s="3"/>
      <c r="K834" s="3"/>
      <c r="L834" s="3"/>
      <c r="M834" s="3"/>
      <c r="N834" s="3"/>
      <c r="O834" s="3"/>
      <c r="P834" s="3"/>
      <c r="Q834" s="3"/>
      <c r="R834" s="3"/>
      <c r="S834" s="3"/>
      <c r="T834" s="3"/>
      <c r="U834" s="3"/>
      <c r="V834" s="3"/>
      <c r="W834" s="3"/>
      <c r="X834" s="3"/>
      <c r="Y834" s="3"/>
      <c r="Z834" s="3"/>
    </row>
    <row r="835" ht="15.75" customHeight="1">
      <c r="A835" s="3"/>
      <c r="B835" s="3"/>
      <c r="C835" s="7"/>
      <c r="D835" s="3"/>
      <c r="E835" s="3"/>
      <c r="F835" s="7"/>
      <c r="G835" s="4"/>
      <c r="H835" s="3"/>
      <c r="I835" s="3"/>
      <c r="J835" s="3"/>
      <c r="K835" s="3"/>
      <c r="L835" s="3"/>
      <c r="M835" s="3"/>
      <c r="N835" s="3"/>
      <c r="O835" s="3"/>
      <c r="P835" s="3"/>
      <c r="Q835" s="3"/>
      <c r="R835" s="3"/>
      <c r="S835" s="3"/>
      <c r="T835" s="3"/>
      <c r="U835" s="3"/>
      <c r="V835" s="3"/>
      <c r="W835" s="3"/>
      <c r="X835" s="3"/>
      <c r="Y835" s="3"/>
      <c r="Z835" s="3"/>
    </row>
    <row r="836" ht="15.75" customHeight="1">
      <c r="A836" s="3"/>
      <c r="B836" s="3"/>
      <c r="C836" s="7"/>
      <c r="D836" s="3"/>
      <c r="E836" s="3"/>
      <c r="F836" s="7"/>
      <c r="G836" s="4"/>
      <c r="H836" s="3"/>
      <c r="I836" s="3"/>
      <c r="J836" s="3"/>
      <c r="K836" s="3"/>
      <c r="L836" s="3"/>
      <c r="M836" s="3"/>
      <c r="N836" s="3"/>
      <c r="O836" s="3"/>
      <c r="P836" s="3"/>
      <c r="Q836" s="3"/>
      <c r="R836" s="3"/>
      <c r="S836" s="3"/>
      <c r="T836" s="3"/>
      <c r="U836" s="3"/>
      <c r="V836" s="3"/>
      <c r="W836" s="3"/>
      <c r="X836" s="3"/>
      <c r="Y836" s="3"/>
      <c r="Z836" s="3"/>
    </row>
    <row r="837" ht="15.75" customHeight="1">
      <c r="A837" s="3"/>
      <c r="B837" s="3"/>
      <c r="C837" s="7"/>
      <c r="D837" s="3"/>
      <c r="E837" s="3"/>
      <c r="F837" s="7"/>
      <c r="G837" s="4"/>
      <c r="H837" s="3"/>
      <c r="I837" s="3"/>
      <c r="J837" s="3"/>
      <c r="K837" s="3"/>
      <c r="L837" s="3"/>
      <c r="M837" s="3"/>
      <c r="N837" s="3"/>
      <c r="O837" s="3"/>
      <c r="P837" s="3"/>
      <c r="Q837" s="3"/>
      <c r="R837" s="3"/>
      <c r="S837" s="3"/>
      <c r="T837" s="3"/>
      <c r="U837" s="3"/>
      <c r="V837" s="3"/>
      <c r="W837" s="3"/>
      <c r="X837" s="3"/>
      <c r="Y837" s="3"/>
      <c r="Z837" s="3"/>
    </row>
    <row r="838" ht="15.75" customHeight="1">
      <c r="A838" s="3"/>
      <c r="B838" s="3"/>
      <c r="C838" s="7"/>
      <c r="D838" s="3"/>
      <c r="E838" s="3"/>
      <c r="F838" s="7"/>
      <c r="G838" s="4"/>
      <c r="H838" s="3"/>
      <c r="I838" s="3"/>
      <c r="J838" s="3"/>
      <c r="K838" s="3"/>
      <c r="L838" s="3"/>
      <c r="M838" s="3"/>
      <c r="N838" s="3"/>
      <c r="O838" s="3"/>
      <c r="P838" s="3"/>
      <c r="Q838" s="3"/>
      <c r="R838" s="3"/>
      <c r="S838" s="3"/>
      <c r="T838" s="3"/>
      <c r="U838" s="3"/>
      <c r="V838" s="3"/>
      <c r="W838" s="3"/>
      <c r="X838" s="3"/>
      <c r="Y838" s="3"/>
      <c r="Z838" s="3"/>
    </row>
    <row r="839" ht="15.75" customHeight="1">
      <c r="A839" s="3"/>
      <c r="B839" s="3"/>
      <c r="C839" s="7"/>
      <c r="D839" s="3"/>
      <c r="E839" s="3"/>
      <c r="F839" s="7"/>
      <c r="G839" s="4"/>
      <c r="H839" s="3"/>
      <c r="I839" s="3"/>
      <c r="J839" s="3"/>
      <c r="K839" s="3"/>
      <c r="L839" s="3"/>
      <c r="M839" s="3"/>
      <c r="N839" s="3"/>
      <c r="O839" s="3"/>
      <c r="P839" s="3"/>
      <c r="Q839" s="3"/>
      <c r="R839" s="3"/>
      <c r="S839" s="3"/>
      <c r="T839" s="3"/>
      <c r="U839" s="3"/>
      <c r="V839" s="3"/>
      <c r="W839" s="3"/>
      <c r="X839" s="3"/>
      <c r="Y839" s="3"/>
      <c r="Z839" s="3"/>
    </row>
    <row r="840" ht="15.75" customHeight="1">
      <c r="A840" s="3"/>
      <c r="B840" s="3"/>
      <c r="C840" s="7"/>
      <c r="D840" s="3"/>
      <c r="E840" s="3"/>
      <c r="F840" s="7"/>
      <c r="G840" s="4"/>
      <c r="H840" s="3"/>
      <c r="I840" s="3"/>
      <c r="J840" s="3"/>
      <c r="K840" s="3"/>
      <c r="L840" s="3"/>
      <c r="M840" s="3"/>
      <c r="N840" s="3"/>
      <c r="O840" s="3"/>
      <c r="P840" s="3"/>
      <c r="Q840" s="3"/>
      <c r="R840" s="3"/>
      <c r="S840" s="3"/>
      <c r="T840" s="3"/>
      <c r="U840" s="3"/>
      <c r="V840" s="3"/>
      <c r="W840" s="3"/>
      <c r="X840" s="3"/>
      <c r="Y840" s="3"/>
      <c r="Z840" s="3"/>
    </row>
    <row r="841" ht="15.75" customHeight="1">
      <c r="A841" s="3"/>
      <c r="B841" s="3"/>
      <c r="C841" s="7"/>
      <c r="D841" s="3"/>
      <c r="E841" s="3"/>
      <c r="F841" s="7"/>
      <c r="G841" s="4"/>
      <c r="H841" s="3"/>
      <c r="I841" s="3"/>
      <c r="J841" s="3"/>
      <c r="K841" s="3"/>
      <c r="L841" s="3"/>
      <c r="M841" s="3"/>
      <c r="N841" s="3"/>
      <c r="O841" s="3"/>
      <c r="P841" s="3"/>
      <c r="Q841" s="3"/>
      <c r="R841" s="3"/>
      <c r="S841" s="3"/>
      <c r="T841" s="3"/>
      <c r="U841" s="3"/>
      <c r="V841" s="3"/>
      <c r="W841" s="3"/>
      <c r="X841" s="3"/>
      <c r="Y841" s="3"/>
      <c r="Z841" s="3"/>
    </row>
    <row r="842" ht="15.75" customHeight="1">
      <c r="A842" s="3"/>
      <c r="B842" s="3"/>
      <c r="C842" s="7"/>
      <c r="D842" s="3"/>
      <c r="E842" s="3"/>
      <c r="F842" s="7"/>
      <c r="G842" s="4"/>
      <c r="H842" s="3"/>
      <c r="I842" s="3"/>
      <c r="J842" s="3"/>
      <c r="K842" s="3"/>
      <c r="L842" s="3"/>
      <c r="M842" s="3"/>
      <c r="N842" s="3"/>
      <c r="O842" s="3"/>
      <c r="P842" s="3"/>
      <c r="Q842" s="3"/>
      <c r="R842" s="3"/>
      <c r="S842" s="3"/>
      <c r="T842" s="3"/>
      <c r="U842" s="3"/>
      <c r="V842" s="3"/>
      <c r="W842" s="3"/>
      <c r="X842" s="3"/>
      <c r="Y842" s="3"/>
      <c r="Z842" s="3"/>
    </row>
    <row r="843" ht="15.75" customHeight="1">
      <c r="A843" s="3"/>
      <c r="B843" s="3"/>
      <c r="C843" s="7"/>
      <c r="D843" s="3"/>
      <c r="E843" s="3"/>
      <c r="F843" s="7"/>
      <c r="G843" s="4"/>
      <c r="H843" s="3"/>
      <c r="I843" s="3"/>
      <c r="J843" s="3"/>
      <c r="K843" s="3"/>
      <c r="L843" s="3"/>
      <c r="M843" s="3"/>
      <c r="N843" s="3"/>
      <c r="O843" s="3"/>
      <c r="P843" s="3"/>
      <c r="Q843" s="3"/>
      <c r="R843" s="3"/>
      <c r="S843" s="3"/>
      <c r="T843" s="3"/>
      <c r="U843" s="3"/>
      <c r="V843" s="3"/>
      <c r="W843" s="3"/>
      <c r="X843" s="3"/>
      <c r="Y843" s="3"/>
      <c r="Z843" s="3"/>
    </row>
    <row r="844" ht="15.75" customHeight="1">
      <c r="A844" s="3"/>
      <c r="B844" s="3"/>
      <c r="C844" s="7"/>
      <c r="D844" s="3"/>
      <c r="E844" s="3"/>
      <c r="F844" s="7"/>
      <c r="G844" s="4"/>
      <c r="H844" s="3"/>
      <c r="I844" s="3"/>
      <c r="J844" s="3"/>
      <c r="K844" s="3"/>
      <c r="L844" s="3"/>
      <c r="M844" s="3"/>
      <c r="N844" s="3"/>
      <c r="O844" s="3"/>
      <c r="P844" s="3"/>
      <c r="Q844" s="3"/>
      <c r="R844" s="3"/>
      <c r="S844" s="3"/>
      <c r="T844" s="3"/>
      <c r="U844" s="3"/>
      <c r="V844" s="3"/>
      <c r="W844" s="3"/>
      <c r="X844" s="3"/>
      <c r="Y844" s="3"/>
      <c r="Z844" s="3"/>
    </row>
    <row r="845" ht="15.75" customHeight="1">
      <c r="A845" s="3"/>
      <c r="B845" s="3"/>
      <c r="C845" s="7"/>
      <c r="D845" s="3"/>
      <c r="E845" s="3"/>
      <c r="F845" s="7"/>
      <c r="G845" s="4"/>
      <c r="H845" s="3"/>
      <c r="I845" s="3"/>
      <c r="J845" s="3"/>
      <c r="K845" s="3"/>
      <c r="L845" s="3"/>
      <c r="M845" s="3"/>
      <c r="N845" s="3"/>
      <c r="O845" s="3"/>
      <c r="P845" s="3"/>
      <c r="Q845" s="3"/>
      <c r="R845" s="3"/>
      <c r="S845" s="3"/>
      <c r="T845" s="3"/>
      <c r="U845" s="3"/>
      <c r="V845" s="3"/>
      <c r="W845" s="3"/>
      <c r="X845" s="3"/>
      <c r="Y845" s="3"/>
      <c r="Z845" s="3"/>
    </row>
    <row r="846" ht="15.75" customHeight="1">
      <c r="A846" s="3"/>
      <c r="B846" s="3"/>
      <c r="C846" s="7"/>
      <c r="D846" s="3"/>
      <c r="E846" s="3"/>
      <c r="F846" s="7"/>
      <c r="G846" s="4"/>
      <c r="H846" s="3"/>
      <c r="I846" s="3"/>
      <c r="J846" s="3"/>
      <c r="K846" s="3"/>
      <c r="L846" s="3"/>
      <c r="M846" s="3"/>
      <c r="N846" s="3"/>
      <c r="O846" s="3"/>
      <c r="P846" s="3"/>
      <c r="Q846" s="3"/>
      <c r="R846" s="3"/>
      <c r="S846" s="3"/>
      <c r="T846" s="3"/>
      <c r="U846" s="3"/>
      <c r="V846" s="3"/>
      <c r="W846" s="3"/>
      <c r="X846" s="3"/>
      <c r="Y846" s="3"/>
      <c r="Z846" s="3"/>
    </row>
    <row r="847" ht="15.75" customHeight="1">
      <c r="A847" s="3"/>
      <c r="B847" s="3"/>
      <c r="C847" s="7"/>
      <c r="D847" s="3"/>
      <c r="E847" s="3"/>
      <c r="F847" s="7"/>
      <c r="G847" s="4"/>
      <c r="H847" s="3"/>
      <c r="I847" s="3"/>
      <c r="J847" s="3"/>
      <c r="K847" s="3"/>
      <c r="L847" s="3"/>
      <c r="M847" s="3"/>
      <c r="N847" s="3"/>
      <c r="O847" s="3"/>
      <c r="P847" s="3"/>
      <c r="Q847" s="3"/>
      <c r="R847" s="3"/>
      <c r="S847" s="3"/>
      <c r="T847" s="3"/>
      <c r="U847" s="3"/>
      <c r="V847" s="3"/>
      <c r="W847" s="3"/>
      <c r="X847" s="3"/>
      <c r="Y847" s="3"/>
      <c r="Z847" s="3"/>
    </row>
    <row r="848" ht="15.75" customHeight="1">
      <c r="A848" s="3"/>
      <c r="B848" s="3"/>
      <c r="C848" s="7"/>
      <c r="D848" s="3"/>
      <c r="E848" s="3"/>
      <c r="F848" s="7"/>
      <c r="G848" s="4"/>
      <c r="H848" s="3"/>
      <c r="I848" s="3"/>
      <c r="J848" s="3"/>
      <c r="K848" s="3"/>
      <c r="L848" s="3"/>
      <c r="M848" s="3"/>
      <c r="N848" s="3"/>
      <c r="O848" s="3"/>
      <c r="P848" s="3"/>
      <c r="Q848" s="3"/>
      <c r="R848" s="3"/>
      <c r="S848" s="3"/>
      <c r="T848" s="3"/>
      <c r="U848" s="3"/>
      <c r="V848" s="3"/>
      <c r="W848" s="3"/>
      <c r="X848" s="3"/>
      <c r="Y848" s="3"/>
      <c r="Z848" s="3"/>
    </row>
    <row r="849" ht="15.75" customHeight="1">
      <c r="A849" s="3"/>
      <c r="B849" s="3"/>
      <c r="C849" s="7"/>
      <c r="D849" s="3"/>
      <c r="E849" s="3"/>
      <c r="F849" s="7"/>
      <c r="G849" s="4"/>
      <c r="H849" s="3"/>
      <c r="I849" s="3"/>
      <c r="J849" s="3"/>
      <c r="K849" s="3"/>
      <c r="L849" s="3"/>
      <c r="M849" s="3"/>
      <c r="N849" s="3"/>
      <c r="O849" s="3"/>
      <c r="P849" s="3"/>
      <c r="Q849" s="3"/>
      <c r="R849" s="3"/>
      <c r="S849" s="3"/>
      <c r="T849" s="3"/>
      <c r="U849" s="3"/>
      <c r="V849" s="3"/>
      <c r="W849" s="3"/>
      <c r="X849" s="3"/>
      <c r="Y849" s="3"/>
      <c r="Z849" s="3"/>
    </row>
    <row r="850" ht="15.75" customHeight="1">
      <c r="A850" s="3"/>
      <c r="B850" s="3"/>
      <c r="C850" s="7"/>
      <c r="D850" s="3"/>
      <c r="E850" s="3"/>
      <c r="F850" s="7"/>
      <c r="G850" s="4"/>
      <c r="H850" s="3"/>
      <c r="I850" s="3"/>
      <c r="J850" s="3"/>
      <c r="K850" s="3"/>
      <c r="L850" s="3"/>
      <c r="M850" s="3"/>
      <c r="N850" s="3"/>
      <c r="O850" s="3"/>
      <c r="P850" s="3"/>
      <c r="Q850" s="3"/>
      <c r="R850" s="3"/>
      <c r="S850" s="3"/>
      <c r="T850" s="3"/>
      <c r="U850" s="3"/>
      <c r="V850" s="3"/>
      <c r="W850" s="3"/>
      <c r="X850" s="3"/>
      <c r="Y850" s="3"/>
      <c r="Z850" s="3"/>
    </row>
    <row r="851" ht="15.75" customHeight="1">
      <c r="A851" s="3"/>
      <c r="B851" s="3"/>
      <c r="C851" s="7"/>
      <c r="D851" s="3"/>
      <c r="E851" s="3"/>
      <c r="F851" s="7"/>
      <c r="G851" s="4"/>
      <c r="H851" s="3"/>
      <c r="I851" s="3"/>
      <c r="J851" s="3"/>
      <c r="K851" s="3"/>
      <c r="L851" s="3"/>
      <c r="M851" s="3"/>
      <c r="N851" s="3"/>
      <c r="O851" s="3"/>
      <c r="P851" s="3"/>
      <c r="Q851" s="3"/>
      <c r="R851" s="3"/>
      <c r="S851" s="3"/>
      <c r="T851" s="3"/>
      <c r="U851" s="3"/>
      <c r="V851" s="3"/>
      <c r="W851" s="3"/>
      <c r="X851" s="3"/>
      <c r="Y851" s="3"/>
      <c r="Z851" s="3"/>
    </row>
    <row r="852" ht="15.75" customHeight="1">
      <c r="A852" s="3"/>
      <c r="B852" s="3"/>
      <c r="C852" s="7"/>
      <c r="D852" s="3"/>
      <c r="E852" s="3"/>
      <c r="F852" s="7"/>
      <c r="G852" s="4"/>
      <c r="H852" s="3"/>
      <c r="I852" s="3"/>
      <c r="J852" s="3"/>
      <c r="K852" s="3"/>
      <c r="L852" s="3"/>
      <c r="M852" s="3"/>
      <c r="N852" s="3"/>
      <c r="O852" s="3"/>
      <c r="P852" s="3"/>
      <c r="Q852" s="3"/>
      <c r="R852" s="3"/>
      <c r="S852" s="3"/>
      <c r="T852" s="3"/>
      <c r="U852" s="3"/>
      <c r="V852" s="3"/>
      <c r="W852" s="3"/>
      <c r="X852" s="3"/>
      <c r="Y852" s="3"/>
      <c r="Z852" s="3"/>
    </row>
    <row r="853" ht="15.75" customHeight="1">
      <c r="A853" s="3"/>
      <c r="B853" s="3"/>
      <c r="C853" s="7"/>
      <c r="D853" s="3"/>
      <c r="E853" s="3"/>
      <c r="F853" s="7"/>
      <c r="G853" s="4"/>
      <c r="H853" s="3"/>
      <c r="I853" s="3"/>
      <c r="J853" s="3"/>
      <c r="K853" s="3"/>
      <c r="L853" s="3"/>
      <c r="M853" s="3"/>
      <c r="N853" s="3"/>
      <c r="O853" s="3"/>
      <c r="P853" s="3"/>
      <c r="Q853" s="3"/>
      <c r="R853" s="3"/>
      <c r="S853" s="3"/>
      <c r="T853" s="3"/>
      <c r="U853" s="3"/>
      <c r="V853" s="3"/>
      <c r="W853" s="3"/>
      <c r="X853" s="3"/>
      <c r="Y853" s="3"/>
      <c r="Z853" s="3"/>
    </row>
    <row r="854" ht="15.75" customHeight="1">
      <c r="A854" s="3"/>
      <c r="B854" s="3"/>
      <c r="C854" s="7"/>
      <c r="D854" s="3"/>
      <c r="E854" s="3"/>
      <c r="F854" s="7"/>
      <c r="G854" s="4"/>
      <c r="H854" s="3"/>
      <c r="I854" s="3"/>
      <c r="J854" s="3"/>
      <c r="K854" s="3"/>
      <c r="L854" s="3"/>
      <c r="M854" s="3"/>
      <c r="N854" s="3"/>
      <c r="O854" s="3"/>
      <c r="P854" s="3"/>
      <c r="Q854" s="3"/>
      <c r="R854" s="3"/>
      <c r="S854" s="3"/>
      <c r="T854" s="3"/>
      <c r="U854" s="3"/>
      <c r="V854" s="3"/>
      <c r="W854" s="3"/>
      <c r="X854" s="3"/>
      <c r="Y854" s="3"/>
      <c r="Z854" s="3"/>
    </row>
    <row r="855" ht="15.75" customHeight="1">
      <c r="A855" s="3"/>
      <c r="B855" s="3"/>
      <c r="C855" s="7"/>
      <c r="D855" s="3"/>
      <c r="E855" s="3"/>
      <c r="F855" s="7"/>
      <c r="G855" s="4"/>
      <c r="H855" s="3"/>
      <c r="I855" s="3"/>
      <c r="J855" s="3"/>
      <c r="K855" s="3"/>
      <c r="L855" s="3"/>
      <c r="M855" s="3"/>
      <c r="N855" s="3"/>
      <c r="O855" s="3"/>
      <c r="P855" s="3"/>
      <c r="Q855" s="3"/>
      <c r="R855" s="3"/>
      <c r="S855" s="3"/>
      <c r="T855" s="3"/>
      <c r="U855" s="3"/>
      <c r="V855" s="3"/>
      <c r="W855" s="3"/>
      <c r="X855" s="3"/>
      <c r="Y855" s="3"/>
      <c r="Z855" s="3"/>
    </row>
    <row r="856" ht="15.75" customHeight="1">
      <c r="A856" s="3"/>
      <c r="B856" s="3"/>
      <c r="C856" s="7"/>
      <c r="D856" s="3"/>
      <c r="E856" s="3"/>
      <c r="F856" s="7"/>
      <c r="G856" s="4"/>
      <c r="H856" s="3"/>
      <c r="I856" s="3"/>
      <c r="J856" s="3"/>
      <c r="K856" s="3"/>
      <c r="L856" s="3"/>
      <c r="M856" s="3"/>
      <c r="N856" s="3"/>
      <c r="O856" s="3"/>
      <c r="P856" s="3"/>
      <c r="Q856" s="3"/>
      <c r="R856" s="3"/>
      <c r="S856" s="3"/>
      <c r="T856" s="3"/>
      <c r="U856" s="3"/>
      <c r="V856" s="3"/>
      <c r="W856" s="3"/>
      <c r="X856" s="3"/>
      <c r="Y856" s="3"/>
      <c r="Z856" s="3"/>
    </row>
    <row r="857" ht="15.75" customHeight="1">
      <c r="A857" s="3"/>
      <c r="B857" s="3"/>
      <c r="C857" s="7"/>
      <c r="D857" s="3"/>
      <c r="E857" s="3"/>
      <c r="F857" s="7"/>
      <c r="G857" s="4"/>
      <c r="H857" s="3"/>
      <c r="I857" s="3"/>
      <c r="J857" s="3"/>
      <c r="K857" s="3"/>
      <c r="L857" s="3"/>
      <c r="M857" s="3"/>
      <c r="N857" s="3"/>
      <c r="O857" s="3"/>
      <c r="P857" s="3"/>
      <c r="Q857" s="3"/>
      <c r="R857" s="3"/>
      <c r="S857" s="3"/>
      <c r="T857" s="3"/>
      <c r="U857" s="3"/>
      <c r="V857" s="3"/>
      <c r="W857" s="3"/>
      <c r="X857" s="3"/>
      <c r="Y857" s="3"/>
      <c r="Z857" s="3"/>
    </row>
    <row r="858" ht="15.75" customHeight="1">
      <c r="A858" s="3"/>
      <c r="B858" s="3"/>
      <c r="C858" s="7"/>
      <c r="D858" s="3"/>
      <c r="E858" s="3"/>
      <c r="F858" s="7"/>
      <c r="G858" s="4"/>
      <c r="H858" s="3"/>
      <c r="I858" s="3"/>
      <c r="J858" s="3"/>
      <c r="K858" s="3"/>
      <c r="L858" s="3"/>
      <c r="M858" s="3"/>
      <c r="N858" s="3"/>
      <c r="O858" s="3"/>
      <c r="P858" s="3"/>
      <c r="Q858" s="3"/>
      <c r="R858" s="3"/>
      <c r="S858" s="3"/>
      <c r="T858" s="3"/>
      <c r="U858" s="3"/>
      <c r="V858" s="3"/>
      <c r="W858" s="3"/>
      <c r="X858" s="3"/>
      <c r="Y858" s="3"/>
      <c r="Z858" s="3"/>
    </row>
    <row r="859" ht="15.75" customHeight="1">
      <c r="A859" s="3"/>
      <c r="B859" s="3"/>
      <c r="C859" s="7"/>
      <c r="D859" s="3"/>
      <c r="E859" s="3"/>
      <c r="F859" s="7"/>
      <c r="G859" s="4"/>
      <c r="H859" s="3"/>
      <c r="I859" s="3"/>
      <c r="J859" s="3"/>
      <c r="K859" s="3"/>
      <c r="L859" s="3"/>
      <c r="M859" s="3"/>
      <c r="N859" s="3"/>
      <c r="O859" s="3"/>
      <c r="P859" s="3"/>
      <c r="Q859" s="3"/>
      <c r="R859" s="3"/>
      <c r="S859" s="3"/>
      <c r="T859" s="3"/>
      <c r="U859" s="3"/>
      <c r="V859" s="3"/>
      <c r="W859" s="3"/>
      <c r="X859" s="3"/>
      <c r="Y859" s="3"/>
      <c r="Z859" s="3"/>
    </row>
    <row r="860" ht="15.75" customHeight="1">
      <c r="A860" s="3"/>
      <c r="B860" s="3"/>
      <c r="C860" s="7"/>
      <c r="D860" s="3"/>
      <c r="E860" s="3"/>
      <c r="F860" s="7"/>
      <c r="G860" s="4"/>
      <c r="H860" s="3"/>
      <c r="I860" s="3"/>
      <c r="J860" s="3"/>
      <c r="K860" s="3"/>
      <c r="L860" s="3"/>
      <c r="M860" s="3"/>
      <c r="N860" s="3"/>
      <c r="O860" s="3"/>
      <c r="P860" s="3"/>
      <c r="Q860" s="3"/>
      <c r="R860" s="3"/>
      <c r="S860" s="3"/>
      <c r="T860" s="3"/>
      <c r="U860" s="3"/>
      <c r="V860" s="3"/>
      <c r="W860" s="3"/>
      <c r="X860" s="3"/>
      <c r="Y860" s="3"/>
      <c r="Z860" s="3"/>
    </row>
    <row r="861" ht="15.75" customHeight="1">
      <c r="A861" s="3"/>
      <c r="B861" s="3"/>
      <c r="C861" s="7"/>
      <c r="D861" s="3"/>
      <c r="E861" s="3"/>
      <c r="F861" s="7"/>
      <c r="G861" s="4"/>
      <c r="H861" s="3"/>
      <c r="I861" s="3"/>
      <c r="J861" s="3"/>
      <c r="K861" s="3"/>
      <c r="L861" s="3"/>
      <c r="M861" s="3"/>
      <c r="N861" s="3"/>
      <c r="O861" s="3"/>
      <c r="P861" s="3"/>
      <c r="Q861" s="3"/>
      <c r="R861" s="3"/>
      <c r="S861" s="3"/>
      <c r="T861" s="3"/>
      <c r="U861" s="3"/>
      <c r="V861" s="3"/>
      <c r="W861" s="3"/>
      <c r="X861" s="3"/>
      <c r="Y861" s="3"/>
      <c r="Z861" s="3"/>
    </row>
    <row r="862" ht="15.75" customHeight="1">
      <c r="A862" s="3"/>
      <c r="B862" s="3"/>
      <c r="C862" s="7"/>
      <c r="D862" s="3"/>
      <c r="E862" s="3"/>
      <c r="F862" s="7"/>
      <c r="G862" s="4"/>
      <c r="H862" s="3"/>
      <c r="I862" s="3"/>
      <c r="J862" s="3"/>
      <c r="K862" s="3"/>
      <c r="L862" s="3"/>
      <c r="M862" s="3"/>
      <c r="N862" s="3"/>
      <c r="O862" s="3"/>
      <c r="P862" s="3"/>
      <c r="Q862" s="3"/>
      <c r="R862" s="3"/>
      <c r="S862" s="3"/>
      <c r="T862" s="3"/>
      <c r="U862" s="3"/>
      <c r="V862" s="3"/>
      <c r="W862" s="3"/>
      <c r="X862" s="3"/>
      <c r="Y862" s="3"/>
      <c r="Z862" s="3"/>
    </row>
    <row r="863" ht="15.75" customHeight="1">
      <c r="A863" s="3"/>
      <c r="B863" s="3"/>
      <c r="C863" s="7"/>
      <c r="D863" s="3"/>
      <c r="E863" s="3"/>
      <c r="F863" s="7"/>
      <c r="G863" s="4"/>
      <c r="H863" s="3"/>
      <c r="I863" s="3"/>
      <c r="J863" s="3"/>
      <c r="K863" s="3"/>
      <c r="L863" s="3"/>
      <c r="M863" s="3"/>
      <c r="N863" s="3"/>
      <c r="O863" s="3"/>
      <c r="P863" s="3"/>
      <c r="Q863" s="3"/>
      <c r="R863" s="3"/>
      <c r="S863" s="3"/>
      <c r="T863" s="3"/>
      <c r="U863" s="3"/>
      <c r="V863" s="3"/>
      <c r="W863" s="3"/>
      <c r="X863" s="3"/>
      <c r="Y863" s="3"/>
      <c r="Z863" s="3"/>
    </row>
    <row r="864" ht="15.75" customHeight="1">
      <c r="A864" s="3"/>
      <c r="B864" s="3"/>
      <c r="C864" s="7"/>
      <c r="D864" s="3"/>
      <c r="E864" s="3"/>
      <c r="F864" s="7"/>
      <c r="G864" s="4"/>
      <c r="H864" s="3"/>
      <c r="I864" s="3"/>
      <c r="J864" s="3"/>
      <c r="K864" s="3"/>
      <c r="L864" s="3"/>
      <c r="M864" s="3"/>
      <c r="N864" s="3"/>
      <c r="O864" s="3"/>
      <c r="P864" s="3"/>
      <c r="Q864" s="3"/>
      <c r="R864" s="3"/>
      <c r="S864" s="3"/>
      <c r="T864" s="3"/>
      <c r="U864" s="3"/>
      <c r="V864" s="3"/>
      <c r="W864" s="3"/>
      <c r="X864" s="3"/>
      <c r="Y864" s="3"/>
      <c r="Z864" s="3"/>
    </row>
    <row r="865" ht="15.75" customHeight="1">
      <c r="A865" s="3"/>
      <c r="B865" s="3"/>
      <c r="C865" s="7"/>
      <c r="D865" s="3"/>
      <c r="E865" s="3"/>
      <c r="F865" s="7"/>
      <c r="G865" s="4"/>
      <c r="H865" s="3"/>
      <c r="I865" s="3"/>
      <c r="J865" s="3"/>
      <c r="K865" s="3"/>
      <c r="L865" s="3"/>
      <c r="M865" s="3"/>
      <c r="N865" s="3"/>
      <c r="O865" s="3"/>
      <c r="P865" s="3"/>
      <c r="Q865" s="3"/>
      <c r="R865" s="3"/>
      <c r="S865" s="3"/>
      <c r="T865" s="3"/>
      <c r="U865" s="3"/>
      <c r="V865" s="3"/>
      <c r="W865" s="3"/>
      <c r="X865" s="3"/>
      <c r="Y865" s="3"/>
      <c r="Z865" s="3"/>
    </row>
    <row r="866" ht="15.75" customHeight="1">
      <c r="A866" s="3"/>
      <c r="B866" s="3"/>
      <c r="C866" s="7"/>
      <c r="D866" s="3"/>
      <c r="E866" s="3"/>
      <c r="F866" s="7"/>
      <c r="G866" s="4"/>
      <c r="H866" s="3"/>
      <c r="I866" s="3"/>
      <c r="J866" s="3"/>
      <c r="K866" s="3"/>
      <c r="L866" s="3"/>
      <c r="M866" s="3"/>
      <c r="N866" s="3"/>
      <c r="O866" s="3"/>
      <c r="P866" s="3"/>
      <c r="Q866" s="3"/>
      <c r="R866" s="3"/>
      <c r="S866" s="3"/>
      <c r="T866" s="3"/>
      <c r="U866" s="3"/>
      <c r="V866" s="3"/>
      <c r="W866" s="3"/>
      <c r="X866" s="3"/>
      <c r="Y866" s="3"/>
      <c r="Z866" s="3"/>
    </row>
    <row r="867" ht="15.75" customHeight="1">
      <c r="A867" s="3"/>
      <c r="B867" s="3"/>
      <c r="C867" s="7"/>
      <c r="D867" s="3"/>
      <c r="E867" s="3"/>
      <c r="F867" s="7"/>
      <c r="G867" s="4"/>
      <c r="H867" s="3"/>
      <c r="I867" s="3"/>
      <c r="J867" s="3"/>
      <c r="K867" s="3"/>
      <c r="L867" s="3"/>
      <c r="M867" s="3"/>
      <c r="N867" s="3"/>
      <c r="O867" s="3"/>
      <c r="P867" s="3"/>
      <c r="Q867" s="3"/>
      <c r="R867" s="3"/>
      <c r="S867" s="3"/>
      <c r="T867" s="3"/>
      <c r="U867" s="3"/>
      <c r="V867" s="3"/>
      <c r="W867" s="3"/>
      <c r="X867" s="3"/>
      <c r="Y867" s="3"/>
      <c r="Z867" s="3"/>
    </row>
    <row r="868" ht="15.75" customHeight="1">
      <c r="A868" s="3"/>
      <c r="B868" s="3"/>
      <c r="C868" s="7"/>
      <c r="D868" s="3"/>
      <c r="E868" s="3"/>
      <c r="F868" s="7"/>
      <c r="G868" s="4"/>
      <c r="H868" s="3"/>
      <c r="I868" s="3"/>
      <c r="J868" s="3"/>
      <c r="K868" s="3"/>
      <c r="L868" s="3"/>
      <c r="M868" s="3"/>
      <c r="N868" s="3"/>
      <c r="O868" s="3"/>
      <c r="P868" s="3"/>
      <c r="Q868" s="3"/>
      <c r="R868" s="3"/>
      <c r="S868" s="3"/>
      <c r="T868" s="3"/>
      <c r="U868" s="3"/>
      <c r="V868" s="3"/>
      <c r="W868" s="3"/>
      <c r="X868" s="3"/>
      <c r="Y868" s="3"/>
      <c r="Z868" s="3"/>
    </row>
    <row r="869" ht="15.75" customHeight="1">
      <c r="A869" s="3"/>
      <c r="B869" s="3"/>
      <c r="C869" s="7"/>
      <c r="D869" s="3"/>
      <c r="E869" s="3"/>
      <c r="F869" s="7"/>
      <c r="G869" s="4"/>
      <c r="H869" s="3"/>
      <c r="I869" s="3"/>
      <c r="J869" s="3"/>
      <c r="K869" s="3"/>
      <c r="L869" s="3"/>
      <c r="M869" s="3"/>
      <c r="N869" s="3"/>
      <c r="O869" s="3"/>
      <c r="P869" s="3"/>
      <c r="Q869" s="3"/>
      <c r="R869" s="3"/>
      <c r="S869" s="3"/>
      <c r="T869" s="3"/>
      <c r="U869" s="3"/>
      <c r="V869" s="3"/>
      <c r="W869" s="3"/>
      <c r="X869" s="3"/>
      <c r="Y869" s="3"/>
      <c r="Z869" s="3"/>
    </row>
    <row r="870" ht="15.75" customHeight="1">
      <c r="A870" s="3"/>
      <c r="B870" s="3"/>
      <c r="C870" s="7"/>
      <c r="D870" s="3"/>
      <c r="E870" s="3"/>
      <c r="F870" s="7"/>
      <c r="G870" s="4"/>
      <c r="H870" s="3"/>
      <c r="I870" s="3"/>
      <c r="J870" s="3"/>
      <c r="K870" s="3"/>
      <c r="L870" s="3"/>
      <c r="M870" s="3"/>
      <c r="N870" s="3"/>
      <c r="O870" s="3"/>
      <c r="P870" s="3"/>
      <c r="Q870" s="3"/>
      <c r="R870" s="3"/>
      <c r="S870" s="3"/>
      <c r="T870" s="3"/>
      <c r="U870" s="3"/>
      <c r="V870" s="3"/>
      <c r="W870" s="3"/>
      <c r="X870" s="3"/>
      <c r="Y870" s="3"/>
      <c r="Z870" s="3"/>
    </row>
    <row r="871" ht="15.75" customHeight="1">
      <c r="A871" s="3"/>
      <c r="B871" s="3"/>
      <c r="C871" s="7"/>
      <c r="D871" s="3"/>
      <c r="E871" s="3"/>
      <c r="F871" s="7"/>
      <c r="G871" s="4"/>
      <c r="H871" s="3"/>
      <c r="I871" s="3"/>
      <c r="J871" s="3"/>
      <c r="K871" s="3"/>
      <c r="L871" s="3"/>
      <c r="M871" s="3"/>
      <c r="N871" s="3"/>
      <c r="O871" s="3"/>
      <c r="P871" s="3"/>
      <c r="Q871" s="3"/>
      <c r="R871" s="3"/>
      <c r="S871" s="3"/>
      <c r="T871" s="3"/>
      <c r="U871" s="3"/>
      <c r="V871" s="3"/>
      <c r="W871" s="3"/>
      <c r="X871" s="3"/>
      <c r="Y871" s="3"/>
      <c r="Z871" s="3"/>
    </row>
    <row r="872" ht="15.75" customHeight="1">
      <c r="A872" s="3"/>
      <c r="B872" s="3"/>
      <c r="C872" s="7"/>
      <c r="D872" s="3"/>
      <c r="E872" s="3"/>
      <c r="F872" s="7"/>
      <c r="G872" s="4"/>
      <c r="H872" s="3"/>
      <c r="I872" s="3"/>
      <c r="J872" s="3"/>
      <c r="K872" s="3"/>
      <c r="L872" s="3"/>
      <c r="M872" s="3"/>
      <c r="N872" s="3"/>
      <c r="O872" s="3"/>
      <c r="P872" s="3"/>
      <c r="Q872" s="3"/>
      <c r="R872" s="3"/>
      <c r="S872" s="3"/>
      <c r="T872" s="3"/>
      <c r="U872" s="3"/>
      <c r="V872" s="3"/>
      <c r="W872" s="3"/>
      <c r="X872" s="3"/>
      <c r="Y872" s="3"/>
      <c r="Z872" s="3"/>
    </row>
    <row r="873" ht="15.75" customHeight="1">
      <c r="A873" s="3"/>
      <c r="B873" s="3"/>
      <c r="C873" s="7"/>
      <c r="D873" s="3"/>
      <c r="E873" s="3"/>
      <c r="F873" s="7"/>
      <c r="G873" s="4"/>
      <c r="H873" s="3"/>
      <c r="I873" s="3"/>
      <c r="J873" s="3"/>
      <c r="K873" s="3"/>
      <c r="L873" s="3"/>
      <c r="M873" s="3"/>
      <c r="N873" s="3"/>
      <c r="O873" s="3"/>
      <c r="P873" s="3"/>
      <c r="Q873" s="3"/>
      <c r="R873" s="3"/>
      <c r="S873" s="3"/>
      <c r="T873" s="3"/>
      <c r="U873" s="3"/>
      <c r="V873" s="3"/>
      <c r="W873" s="3"/>
      <c r="X873" s="3"/>
      <c r="Y873" s="3"/>
      <c r="Z873" s="3"/>
    </row>
    <row r="874" ht="15.75" customHeight="1">
      <c r="A874" s="3"/>
      <c r="B874" s="3"/>
      <c r="C874" s="7"/>
      <c r="D874" s="3"/>
      <c r="E874" s="3"/>
      <c r="F874" s="7"/>
      <c r="G874" s="4"/>
      <c r="H874" s="3"/>
      <c r="I874" s="3"/>
      <c r="J874" s="3"/>
      <c r="K874" s="3"/>
      <c r="L874" s="3"/>
      <c r="M874" s="3"/>
      <c r="N874" s="3"/>
      <c r="O874" s="3"/>
      <c r="P874" s="3"/>
      <c r="Q874" s="3"/>
      <c r="R874" s="3"/>
      <c r="S874" s="3"/>
      <c r="T874" s="3"/>
      <c r="U874" s="3"/>
      <c r="V874" s="3"/>
      <c r="W874" s="3"/>
      <c r="X874" s="3"/>
      <c r="Y874" s="3"/>
      <c r="Z874" s="3"/>
    </row>
    <row r="875" ht="15.75" customHeight="1">
      <c r="A875" s="3"/>
      <c r="B875" s="3"/>
      <c r="C875" s="7"/>
      <c r="D875" s="3"/>
      <c r="E875" s="3"/>
      <c r="F875" s="7"/>
      <c r="G875" s="4"/>
      <c r="H875" s="3"/>
      <c r="I875" s="3"/>
      <c r="J875" s="3"/>
      <c r="K875" s="3"/>
      <c r="L875" s="3"/>
      <c r="M875" s="3"/>
      <c r="N875" s="3"/>
      <c r="O875" s="3"/>
      <c r="P875" s="3"/>
      <c r="Q875" s="3"/>
      <c r="R875" s="3"/>
      <c r="S875" s="3"/>
      <c r="T875" s="3"/>
      <c r="U875" s="3"/>
      <c r="V875" s="3"/>
      <c r="W875" s="3"/>
      <c r="X875" s="3"/>
      <c r="Y875" s="3"/>
      <c r="Z875" s="3"/>
    </row>
    <row r="876" ht="15.75" customHeight="1">
      <c r="A876" s="3"/>
      <c r="B876" s="3"/>
      <c r="C876" s="7"/>
      <c r="D876" s="3"/>
      <c r="E876" s="3"/>
      <c r="F876" s="7"/>
      <c r="G876" s="4"/>
      <c r="H876" s="3"/>
      <c r="I876" s="3"/>
      <c r="J876" s="3"/>
      <c r="K876" s="3"/>
      <c r="L876" s="3"/>
      <c r="M876" s="3"/>
      <c r="N876" s="3"/>
      <c r="O876" s="3"/>
      <c r="P876" s="3"/>
      <c r="Q876" s="3"/>
      <c r="R876" s="3"/>
      <c r="S876" s="3"/>
      <c r="T876" s="3"/>
      <c r="U876" s="3"/>
      <c r="V876" s="3"/>
      <c r="W876" s="3"/>
      <c r="X876" s="3"/>
      <c r="Y876" s="3"/>
      <c r="Z876" s="3"/>
    </row>
    <row r="877" ht="15.75" customHeight="1">
      <c r="A877" s="3"/>
      <c r="B877" s="3"/>
      <c r="C877" s="7"/>
      <c r="D877" s="3"/>
      <c r="E877" s="3"/>
      <c r="F877" s="7"/>
      <c r="G877" s="4"/>
      <c r="H877" s="3"/>
      <c r="I877" s="3"/>
      <c r="J877" s="3"/>
      <c r="K877" s="3"/>
      <c r="L877" s="3"/>
      <c r="M877" s="3"/>
      <c r="N877" s="3"/>
      <c r="O877" s="3"/>
      <c r="P877" s="3"/>
      <c r="Q877" s="3"/>
      <c r="R877" s="3"/>
      <c r="S877" s="3"/>
      <c r="T877" s="3"/>
      <c r="U877" s="3"/>
      <c r="V877" s="3"/>
      <c r="W877" s="3"/>
      <c r="X877" s="3"/>
      <c r="Y877" s="3"/>
      <c r="Z877" s="3"/>
    </row>
    <row r="878" ht="15.75" customHeight="1">
      <c r="A878" s="3"/>
      <c r="B878" s="3"/>
      <c r="C878" s="7"/>
      <c r="D878" s="3"/>
      <c r="E878" s="3"/>
      <c r="F878" s="7"/>
      <c r="G878" s="4"/>
      <c r="H878" s="3"/>
      <c r="I878" s="3"/>
      <c r="J878" s="3"/>
      <c r="K878" s="3"/>
      <c r="L878" s="3"/>
      <c r="M878" s="3"/>
      <c r="N878" s="3"/>
      <c r="O878" s="3"/>
      <c r="P878" s="3"/>
      <c r="Q878" s="3"/>
      <c r="R878" s="3"/>
      <c r="S878" s="3"/>
      <c r="T878" s="3"/>
      <c r="U878" s="3"/>
      <c r="V878" s="3"/>
      <c r="W878" s="3"/>
      <c r="X878" s="3"/>
      <c r="Y878" s="3"/>
      <c r="Z878" s="3"/>
    </row>
    <row r="879" ht="15.75" customHeight="1">
      <c r="A879" s="3"/>
      <c r="B879" s="3"/>
      <c r="C879" s="7"/>
      <c r="D879" s="3"/>
      <c r="E879" s="3"/>
      <c r="F879" s="7"/>
      <c r="G879" s="4"/>
      <c r="H879" s="3"/>
      <c r="I879" s="3"/>
      <c r="J879" s="3"/>
      <c r="K879" s="3"/>
      <c r="L879" s="3"/>
      <c r="M879" s="3"/>
      <c r="N879" s="3"/>
      <c r="O879" s="3"/>
      <c r="P879" s="3"/>
      <c r="Q879" s="3"/>
      <c r="R879" s="3"/>
      <c r="S879" s="3"/>
      <c r="T879" s="3"/>
      <c r="U879" s="3"/>
      <c r="V879" s="3"/>
      <c r="W879" s="3"/>
      <c r="X879" s="3"/>
      <c r="Y879" s="3"/>
      <c r="Z879" s="3"/>
    </row>
    <row r="880" ht="15.75" customHeight="1">
      <c r="A880" s="3"/>
      <c r="B880" s="3"/>
      <c r="C880" s="7"/>
      <c r="D880" s="3"/>
      <c r="E880" s="3"/>
      <c r="F880" s="7"/>
      <c r="G880" s="4"/>
      <c r="H880" s="3"/>
      <c r="I880" s="3"/>
      <c r="J880" s="3"/>
      <c r="K880" s="3"/>
      <c r="L880" s="3"/>
      <c r="M880" s="3"/>
      <c r="N880" s="3"/>
      <c r="O880" s="3"/>
      <c r="P880" s="3"/>
      <c r="Q880" s="3"/>
      <c r="R880" s="3"/>
      <c r="S880" s="3"/>
      <c r="T880" s="3"/>
      <c r="U880" s="3"/>
      <c r="V880" s="3"/>
      <c r="W880" s="3"/>
      <c r="X880" s="3"/>
      <c r="Y880" s="3"/>
      <c r="Z880" s="3"/>
    </row>
    <row r="881" ht="15.75" customHeight="1">
      <c r="A881" s="3"/>
      <c r="B881" s="3"/>
      <c r="C881" s="7"/>
      <c r="D881" s="3"/>
      <c r="E881" s="3"/>
      <c r="F881" s="7"/>
      <c r="G881" s="4"/>
      <c r="H881" s="3"/>
      <c r="I881" s="3"/>
      <c r="J881" s="3"/>
      <c r="K881" s="3"/>
      <c r="L881" s="3"/>
      <c r="M881" s="3"/>
      <c r="N881" s="3"/>
      <c r="O881" s="3"/>
      <c r="P881" s="3"/>
      <c r="Q881" s="3"/>
      <c r="R881" s="3"/>
      <c r="S881" s="3"/>
      <c r="T881" s="3"/>
      <c r="U881" s="3"/>
      <c r="V881" s="3"/>
      <c r="W881" s="3"/>
      <c r="X881" s="3"/>
      <c r="Y881" s="3"/>
      <c r="Z881" s="3"/>
    </row>
    <row r="882" ht="15.75" customHeight="1">
      <c r="A882" s="3"/>
      <c r="B882" s="3"/>
      <c r="C882" s="7"/>
      <c r="D882" s="3"/>
      <c r="E882" s="3"/>
      <c r="F882" s="7"/>
      <c r="G882" s="4"/>
      <c r="H882" s="3"/>
      <c r="I882" s="3"/>
      <c r="J882" s="3"/>
      <c r="K882" s="3"/>
      <c r="L882" s="3"/>
      <c r="M882" s="3"/>
      <c r="N882" s="3"/>
      <c r="O882" s="3"/>
      <c r="P882" s="3"/>
      <c r="Q882" s="3"/>
      <c r="R882" s="3"/>
      <c r="S882" s="3"/>
      <c r="T882" s="3"/>
      <c r="U882" s="3"/>
      <c r="V882" s="3"/>
      <c r="W882" s="3"/>
      <c r="X882" s="3"/>
      <c r="Y882" s="3"/>
      <c r="Z882" s="3"/>
    </row>
    <row r="883" ht="15.75" customHeight="1">
      <c r="A883" s="3"/>
      <c r="B883" s="3"/>
      <c r="C883" s="7"/>
      <c r="D883" s="3"/>
      <c r="E883" s="3"/>
      <c r="F883" s="7"/>
      <c r="G883" s="4"/>
      <c r="H883" s="3"/>
      <c r="I883" s="3"/>
      <c r="J883" s="3"/>
      <c r="K883" s="3"/>
      <c r="L883" s="3"/>
      <c r="M883" s="3"/>
      <c r="N883" s="3"/>
      <c r="O883" s="3"/>
      <c r="P883" s="3"/>
      <c r="Q883" s="3"/>
      <c r="R883" s="3"/>
      <c r="S883" s="3"/>
      <c r="T883" s="3"/>
      <c r="U883" s="3"/>
      <c r="V883" s="3"/>
      <c r="W883" s="3"/>
      <c r="X883" s="3"/>
      <c r="Y883" s="3"/>
      <c r="Z883" s="3"/>
    </row>
    <row r="884" ht="15.75" customHeight="1">
      <c r="A884" s="3"/>
      <c r="B884" s="3"/>
      <c r="C884" s="7"/>
      <c r="D884" s="3"/>
      <c r="E884" s="3"/>
      <c r="F884" s="7"/>
      <c r="G884" s="4"/>
      <c r="H884" s="3"/>
      <c r="I884" s="3"/>
      <c r="J884" s="3"/>
      <c r="K884" s="3"/>
      <c r="L884" s="3"/>
      <c r="M884" s="3"/>
      <c r="N884" s="3"/>
      <c r="O884" s="3"/>
      <c r="P884" s="3"/>
      <c r="Q884" s="3"/>
      <c r="R884" s="3"/>
      <c r="S884" s="3"/>
      <c r="T884" s="3"/>
      <c r="U884" s="3"/>
      <c r="V884" s="3"/>
      <c r="W884" s="3"/>
      <c r="X884" s="3"/>
      <c r="Y884" s="3"/>
      <c r="Z884" s="3"/>
    </row>
    <row r="885" ht="15.75" customHeight="1">
      <c r="A885" s="3"/>
      <c r="B885" s="3"/>
      <c r="C885" s="7"/>
      <c r="D885" s="3"/>
      <c r="E885" s="3"/>
      <c r="F885" s="7"/>
      <c r="G885" s="4"/>
      <c r="H885" s="3"/>
      <c r="I885" s="3"/>
      <c r="J885" s="3"/>
      <c r="K885" s="3"/>
      <c r="L885" s="3"/>
      <c r="M885" s="3"/>
      <c r="N885" s="3"/>
      <c r="O885" s="3"/>
      <c r="P885" s="3"/>
      <c r="Q885" s="3"/>
      <c r="R885" s="3"/>
      <c r="S885" s="3"/>
      <c r="T885" s="3"/>
      <c r="U885" s="3"/>
      <c r="V885" s="3"/>
      <c r="W885" s="3"/>
      <c r="X885" s="3"/>
      <c r="Y885" s="3"/>
      <c r="Z885" s="3"/>
    </row>
    <row r="886" ht="15.75" customHeight="1">
      <c r="A886" s="3"/>
      <c r="B886" s="3"/>
      <c r="C886" s="7"/>
      <c r="D886" s="3"/>
      <c r="E886" s="3"/>
      <c r="F886" s="7"/>
      <c r="G886" s="4"/>
      <c r="H886" s="3"/>
      <c r="I886" s="3"/>
      <c r="J886" s="3"/>
      <c r="K886" s="3"/>
      <c r="L886" s="3"/>
      <c r="M886" s="3"/>
      <c r="N886" s="3"/>
      <c r="O886" s="3"/>
      <c r="P886" s="3"/>
      <c r="Q886" s="3"/>
      <c r="R886" s="3"/>
      <c r="S886" s="3"/>
      <c r="T886" s="3"/>
      <c r="U886" s="3"/>
      <c r="V886" s="3"/>
      <c r="W886" s="3"/>
      <c r="X886" s="3"/>
      <c r="Y886" s="3"/>
      <c r="Z886" s="3"/>
    </row>
    <row r="887" ht="15.75" customHeight="1">
      <c r="A887" s="3"/>
      <c r="B887" s="3"/>
      <c r="C887" s="7"/>
      <c r="D887" s="3"/>
      <c r="E887" s="3"/>
      <c r="F887" s="7"/>
      <c r="G887" s="4"/>
      <c r="H887" s="3"/>
      <c r="I887" s="3"/>
      <c r="J887" s="3"/>
      <c r="K887" s="3"/>
      <c r="L887" s="3"/>
      <c r="M887" s="3"/>
      <c r="N887" s="3"/>
      <c r="O887" s="3"/>
      <c r="P887" s="3"/>
      <c r="Q887" s="3"/>
      <c r="R887" s="3"/>
      <c r="S887" s="3"/>
      <c r="T887" s="3"/>
      <c r="U887" s="3"/>
      <c r="V887" s="3"/>
      <c r="W887" s="3"/>
      <c r="X887" s="3"/>
      <c r="Y887" s="3"/>
      <c r="Z887" s="3"/>
    </row>
    <row r="888" ht="15.75" customHeight="1">
      <c r="A888" s="3"/>
      <c r="B888" s="3"/>
      <c r="C888" s="7"/>
      <c r="D888" s="3"/>
      <c r="E888" s="3"/>
      <c r="F888" s="7"/>
      <c r="G888" s="4"/>
      <c r="H888" s="3"/>
      <c r="I888" s="3"/>
      <c r="J888" s="3"/>
      <c r="K888" s="3"/>
      <c r="L888" s="3"/>
      <c r="M888" s="3"/>
      <c r="N888" s="3"/>
      <c r="O888" s="3"/>
      <c r="P888" s="3"/>
      <c r="Q888" s="3"/>
      <c r="R888" s="3"/>
      <c r="S888" s="3"/>
      <c r="T888" s="3"/>
      <c r="U888" s="3"/>
      <c r="V888" s="3"/>
      <c r="W888" s="3"/>
      <c r="X888" s="3"/>
      <c r="Y888" s="3"/>
      <c r="Z888" s="3"/>
    </row>
    <row r="889" ht="15.75" customHeight="1">
      <c r="A889" s="3"/>
      <c r="B889" s="3"/>
      <c r="C889" s="7"/>
      <c r="D889" s="3"/>
      <c r="E889" s="3"/>
      <c r="F889" s="7"/>
      <c r="G889" s="4"/>
      <c r="H889" s="3"/>
      <c r="I889" s="3"/>
      <c r="J889" s="3"/>
      <c r="K889" s="3"/>
      <c r="L889" s="3"/>
      <c r="M889" s="3"/>
      <c r="N889" s="3"/>
      <c r="O889" s="3"/>
      <c r="P889" s="3"/>
      <c r="Q889" s="3"/>
      <c r="R889" s="3"/>
      <c r="S889" s="3"/>
      <c r="T889" s="3"/>
      <c r="U889" s="3"/>
      <c r="V889" s="3"/>
      <c r="W889" s="3"/>
      <c r="X889" s="3"/>
      <c r="Y889" s="3"/>
      <c r="Z889" s="3"/>
    </row>
    <row r="890" ht="15.75" customHeight="1">
      <c r="A890" s="3"/>
      <c r="B890" s="3"/>
      <c r="C890" s="7"/>
      <c r="D890" s="3"/>
      <c r="E890" s="3"/>
      <c r="F890" s="7"/>
      <c r="G890" s="4"/>
      <c r="H890" s="3"/>
      <c r="I890" s="3"/>
      <c r="J890" s="3"/>
      <c r="K890" s="3"/>
      <c r="L890" s="3"/>
      <c r="M890" s="3"/>
      <c r="N890" s="3"/>
      <c r="O890" s="3"/>
      <c r="P890" s="3"/>
      <c r="Q890" s="3"/>
      <c r="R890" s="3"/>
      <c r="S890" s="3"/>
      <c r="T890" s="3"/>
      <c r="U890" s="3"/>
      <c r="V890" s="3"/>
      <c r="W890" s="3"/>
      <c r="X890" s="3"/>
      <c r="Y890" s="3"/>
      <c r="Z890" s="3"/>
    </row>
    <row r="891" ht="15.75" customHeight="1">
      <c r="A891" s="3"/>
      <c r="B891" s="3"/>
      <c r="C891" s="7"/>
      <c r="D891" s="3"/>
      <c r="E891" s="3"/>
      <c r="F891" s="7"/>
      <c r="G891" s="4"/>
      <c r="H891" s="3"/>
      <c r="I891" s="3"/>
      <c r="J891" s="3"/>
      <c r="K891" s="3"/>
      <c r="L891" s="3"/>
      <c r="M891" s="3"/>
      <c r="N891" s="3"/>
      <c r="O891" s="3"/>
      <c r="P891" s="3"/>
      <c r="Q891" s="3"/>
      <c r="R891" s="3"/>
      <c r="S891" s="3"/>
      <c r="T891" s="3"/>
      <c r="U891" s="3"/>
      <c r="V891" s="3"/>
      <c r="W891" s="3"/>
      <c r="X891" s="3"/>
      <c r="Y891" s="3"/>
      <c r="Z891" s="3"/>
    </row>
    <row r="892" ht="15.75" customHeight="1">
      <c r="A892" s="3"/>
      <c r="B892" s="3"/>
      <c r="C892" s="7"/>
      <c r="D892" s="3"/>
      <c r="E892" s="3"/>
      <c r="F892" s="7"/>
      <c r="G892" s="4"/>
      <c r="H892" s="3"/>
      <c r="I892" s="3"/>
      <c r="J892" s="3"/>
      <c r="K892" s="3"/>
      <c r="L892" s="3"/>
      <c r="M892" s="3"/>
      <c r="N892" s="3"/>
      <c r="O892" s="3"/>
      <c r="P892" s="3"/>
      <c r="Q892" s="3"/>
      <c r="R892" s="3"/>
      <c r="S892" s="3"/>
      <c r="T892" s="3"/>
      <c r="U892" s="3"/>
      <c r="V892" s="3"/>
      <c r="W892" s="3"/>
      <c r="X892" s="3"/>
      <c r="Y892" s="3"/>
      <c r="Z892" s="3"/>
    </row>
    <row r="893" ht="15.75" customHeight="1">
      <c r="A893" s="3"/>
      <c r="B893" s="3"/>
      <c r="C893" s="7"/>
      <c r="D893" s="3"/>
      <c r="E893" s="3"/>
      <c r="F893" s="7"/>
      <c r="G893" s="4"/>
      <c r="H893" s="3"/>
      <c r="I893" s="3"/>
      <c r="J893" s="3"/>
      <c r="K893" s="3"/>
      <c r="L893" s="3"/>
      <c r="M893" s="3"/>
      <c r="N893" s="3"/>
      <c r="O893" s="3"/>
      <c r="P893" s="3"/>
      <c r="Q893" s="3"/>
      <c r="R893" s="3"/>
      <c r="S893" s="3"/>
      <c r="T893" s="3"/>
      <c r="U893" s="3"/>
      <c r="V893" s="3"/>
      <c r="W893" s="3"/>
      <c r="X893" s="3"/>
      <c r="Y893" s="3"/>
      <c r="Z893" s="3"/>
    </row>
    <row r="894" ht="15.75" customHeight="1">
      <c r="A894" s="3"/>
      <c r="B894" s="3"/>
      <c r="C894" s="7"/>
      <c r="D894" s="3"/>
      <c r="E894" s="3"/>
      <c r="F894" s="7"/>
      <c r="G894" s="4"/>
      <c r="H894" s="3"/>
      <c r="I894" s="3"/>
      <c r="J894" s="3"/>
      <c r="K894" s="3"/>
      <c r="L894" s="3"/>
      <c r="M894" s="3"/>
      <c r="N894" s="3"/>
      <c r="O894" s="3"/>
      <c r="P894" s="3"/>
      <c r="Q894" s="3"/>
      <c r="R894" s="3"/>
      <c r="S894" s="3"/>
      <c r="T894" s="3"/>
      <c r="U894" s="3"/>
      <c r="V894" s="3"/>
      <c r="W894" s="3"/>
      <c r="X894" s="3"/>
      <c r="Y894" s="3"/>
      <c r="Z894" s="3"/>
    </row>
    <row r="895" ht="15.75" customHeight="1">
      <c r="A895" s="3"/>
      <c r="B895" s="3"/>
      <c r="C895" s="7"/>
      <c r="D895" s="3"/>
      <c r="E895" s="3"/>
      <c r="F895" s="7"/>
      <c r="G895" s="4"/>
      <c r="H895" s="3"/>
      <c r="I895" s="3"/>
      <c r="J895" s="3"/>
      <c r="K895" s="3"/>
      <c r="L895" s="3"/>
      <c r="M895" s="3"/>
      <c r="N895" s="3"/>
      <c r="O895" s="3"/>
      <c r="P895" s="3"/>
      <c r="Q895" s="3"/>
      <c r="R895" s="3"/>
      <c r="S895" s="3"/>
      <c r="T895" s="3"/>
      <c r="U895" s="3"/>
      <c r="V895" s="3"/>
      <c r="W895" s="3"/>
      <c r="X895" s="3"/>
      <c r="Y895" s="3"/>
      <c r="Z895" s="3"/>
    </row>
    <row r="896" ht="15.75" customHeight="1">
      <c r="A896" s="3"/>
      <c r="B896" s="3"/>
      <c r="C896" s="7"/>
      <c r="D896" s="3"/>
      <c r="E896" s="3"/>
      <c r="F896" s="7"/>
      <c r="G896" s="4"/>
      <c r="H896" s="3"/>
      <c r="I896" s="3"/>
      <c r="J896" s="3"/>
      <c r="K896" s="3"/>
      <c r="L896" s="3"/>
      <c r="M896" s="3"/>
      <c r="N896" s="3"/>
      <c r="O896" s="3"/>
      <c r="P896" s="3"/>
      <c r="Q896" s="3"/>
      <c r="R896" s="3"/>
      <c r="S896" s="3"/>
      <c r="T896" s="3"/>
      <c r="U896" s="3"/>
      <c r="V896" s="3"/>
      <c r="W896" s="3"/>
      <c r="X896" s="3"/>
      <c r="Y896" s="3"/>
      <c r="Z896" s="3"/>
    </row>
    <row r="897" ht="15.75" customHeight="1">
      <c r="A897" s="3"/>
      <c r="B897" s="3"/>
      <c r="C897" s="7"/>
      <c r="D897" s="3"/>
      <c r="E897" s="3"/>
      <c r="F897" s="7"/>
      <c r="G897" s="4"/>
      <c r="H897" s="3"/>
      <c r="I897" s="3"/>
      <c r="J897" s="3"/>
      <c r="K897" s="3"/>
      <c r="L897" s="3"/>
      <c r="M897" s="3"/>
      <c r="N897" s="3"/>
      <c r="O897" s="3"/>
      <c r="P897" s="3"/>
      <c r="Q897" s="3"/>
      <c r="R897" s="3"/>
      <c r="S897" s="3"/>
      <c r="T897" s="3"/>
      <c r="U897" s="3"/>
      <c r="V897" s="3"/>
      <c r="W897" s="3"/>
      <c r="X897" s="3"/>
      <c r="Y897" s="3"/>
      <c r="Z897" s="3"/>
    </row>
    <row r="898" ht="15.75" customHeight="1">
      <c r="A898" s="3"/>
      <c r="B898" s="3"/>
      <c r="C898" s="7"/>
      <c r="D898" s="3"/>
      <c r="E898" s="3"/>
      <c r="F898" s="7"/>
      <c r="G898" s="4"/>
      <c r="H898" s="3"/>
      <c r="I898" s="3"/>
      <c r="J898" s="3"/>
      <c r="K898" s="3"/>
      <c r="L898" s="3"/>
      <c r="M898" s="3"/>
      <c r="N898" s="3"/>
      <c r="O898" s="3"/>
      <c r="P898" s="3"/>
      <c r="Q898" s="3"/>
      <c r="R898" s="3"/>
      <c r="S898" s="3"/>
      <c r="T898" s="3"/>
      <c r="U898" s="3"/>
      <c r="V898" s="3"/>
      <c r="W898" s="3"/>
      <c r="X898" s="3"/>
      <c r="Y898" s="3"/>
      <c r="Z898" s="3"/>
    </row>
    <row r="899" ht="15.75" customHeight="1">
      <c r="A899" s="3"/>
      <c r="B899" s="3"/>
      <c r="C899" s="7"/>
      <c r="D899" s="3"/>
      <c r="E899" s="3"/>
      <c r="F899" s="7"/>
      <c r="G899" s="4"/>
      <c r="H899" s="3"/>
      <c r="I899" s="3"/>
      <c r="J899" s="3"/>
      <c r="K899" s="3"/>
      <c r="L899" s="3"/>
      <c r="M899" s="3"/>
      <c r="N899" s="3"/>
      <c r="O899" s="3"/>
      <c r="P899" s="3"/>
      <c r="Q899" s="3"/>
      <c r="R899" s="3"/>
      <c r="S899" s="3"/>
      <c r="T899" s="3"/>
      <c r="U899" s="3"/>
      <c r="V899" s="3"/>
      <c r="W899" s="3"/>
      <c r="X899" s="3"/>
      <c r="Y899" s="3"/>
      <c r="Z899" s="3"/>
    </row>
    <row r="900" ht="15.75" customHeight="1">
      <c r="A900" s="3"/>
      <c r="B900" s="3"/>
      <c r="C900" s="7"/>
      <c r="D900" s="3"/>
      <c r="E900" s="3"/>
      <c r="F900" s="7"/>
      <c r="G900" s="4"/>
      <c r="H900" s="3"/>
      <c r="I900" s="3"/>
      <c r="J900" s="3"/>
      <c r="K900" s="3"/>
      <c r="L900" s="3"/>
      <c r="M900" s="3"/>
      <c r="N900" s="3"/>
      <c r="O900" s="3"/>
      <c r="P900" s="3"/>
      <c r="Q900" s="3"/>
      <c r="R900" s="3"/>
      <c r="S900" s="3"/>
      <c r="T900" s="3"/>
      <c r="U900" s="3"/>
      <c r="V900" s="3"/>
      <c r="W900" s="3"/>
      <c r="X900" s="3"/>
      <c r="Y900" s="3"/>
      <c r="Z900" s="3"/>
    </row>
    <row r="901" ht="15.75" customHeight="1">
      <c r="A901" s="3"/>
      <c r="B901" s="3"/>
      <c r="C901" s="7"/>
      <c r="D901" s="3"/>
      <c r="E901" s="3"/>
      <c r="F901" s="7"/>
      <c r="G901" s="4"/>
      <c r="H901" s="3"/>
      <c r="I901" s="3"/>
      <c r="J901" s="3"/>
      <c r="K901" s="3"/>
      <c r="L901" s="3"/>
      <c r="M901" s="3"/>
      <c r="N901" s="3"/>
      <c r="O901" s="3"/>
      <c r="P901" s="3"/>
      <c r="Q901" s="3"/>
      <c r="R901" s="3"/>
      <c r="S901" s="3"/>
      <c r="T901" s="3"/>
      <c r="U901" s="3"/>
      <c r="V901" s="3"/>
      <c r="W901" s="3"/>
      <c r="X901" s="3"/>
      <c r="Y901" s="3"/>
      <c r="Z901" s="3"/>
    </row>
    <row r="902" ht="15.75" customHeight="1">
      <c r="A902" s="3"/>
      <c r="B902" s="3"/>
      <c r="C902" s="7"/>
      <c r="D902" s="3"/>
      <c r="E902" s="3"/>
      <c r="F902" s="7"/>
      <c r="G902" s="4"/>
      <c r="H902" s="3"/>
      <c r="I902" s="3"/>
      <c r="J902" s="3"/>
      <c r="K902" s="3"/>
      <c r="L902" s="3"/>
      <c r="M902" s="3"/>
      <c r="N902" s="3"/>
      <c r="O902" s="3"/>
      <c r="P902" s="3"/>
      <c r="Q902" s="3"/>
      <c r="R902" s="3"/>
      <c r="S902" s="3"/>
      <c r="T902" s="3"/>
      <c r="U902" s="3"/>
      <c r="V902" s="3"/>
      <c r="W902" s="3"/>
      <c r="X902" s="3"/>
      <c r="Y902" s="3"/>
      <c r="Z902" s="3"/>
    </row>
    <row r="903" ht="15.75" customHeight="1">
      <c r="A903" s="3"/>
      <c r="B903" s="3"/>
      <c r="C903" s="7"/>
      <c r="D903" s="3"/>
      <c r="E903" s="3"/>
      <c r="F903" s="7"/>
      <c r="G903" s="4"/>
      <c r="H903" s="3"/>
      <c r="I903" s="3"/>
      <c r="J903" s="3"/>
      <c r="K903" s="3"/>
      <c r="L903" s="3"/>
      <c r="M903" s="3"/>
      <c r="N903" s="3"/>
      <c r="O903" s="3"/>
      <c r="P903" s="3"/>
      <c r="Q903" s="3"/>
      <c r="R903" s="3"/>
      <c r="S903" s="3"/>
      <c r="T903" s="3"/>
      <c r="U903" s="3"/>
      <c r="V903" s="3"/>
      <c r="W903" s="3"/>
      <c r="X903" s="3"/>
      <c r="Y903" s="3"/>
      <c r="Z903" s="3"/>
    </row>
    <row r="904" ht="15.75" customHeight="1">
      <c r="A904" s="3"/>
      <c r="B904" s="3"/>
      <c r="C904" s="7"/>
      <c r="D904" s="3"/>
      <c r="E904" s="3"/>
      <c r="F904" s="7"/>
      <c r="G904" s="4"/>
      <c r="H904" s="3"/>
      <c r="I904" s="3"/>
      <c r="J904" s="3"/>
      <c r="K904" s="3"/>
      <c r="L904" s="3"/>
      <c r="M904" s="3"/>
      <c r="N904" s="3"/>
      <c r="O904" s="3"/>
      <c r="P904" s="3"/>
      <c r="Q904" s="3"/>
      <c r="R904" s="3"/>
      <c r="S904" s="3"/>
      <c r="T904" s="3"/>
      <c r="U904" s="3"/>
      <c r="V904" s="3"/>
      <c r="W904" s="3"/>
      <c r="X904" s="3"/>
      <c r="Y904" s="3"/>
      <c r="Z904" s="3"/>
    </row>
    <row r="905" ht="15.75" customHeight="1">
      <c r="A905" s="3"/>
      <c r="B905" s="3"/>
      <c r="C905" s="7"/>
      <c r="D905" s="3"/>
      <c r="E905" s="3"/>
      <c r="F905" s="7"/>
      <c r="G905" s="4"/>
      <c r="H905" s="3"/>
      <c r="I905" s="3"/>
      <c r="J905" s="3"/>
      <c r="K905" s="3"/>
      <c r="L905" s="3"/>
      <c r="M905" s="3"/>
      <c r="N905" s="3"/>
      <c r="O905" s="3"/>
      <c r="P905" s="3"/>
      <c r="Q905" s="3"/>
      <c r="R905" s="3"/>
      <c r="S905" s="3"/>
      <c r="T905" s="3"/>
      <c r="U905" s="3"/>
      <c r="V905" s="3"/>
      <c r="W905" s="3"/>
      <c r="X905" s="3"/>
      <c r="Y905" s="3"/>
      <c r="Z905" s="3"/>
    </row>
    <row r="906" ht="15.75" customHeight="1">
      <c r="A906" s="3"/>
      <c r="B906" s="3"/>
      <c r="C906" s="7"/>
      <c r="D906" s="3"/>
      <c r="E906" s="3"/>
      <c r="F906" s="7"/>
      <c r="G906" s="4"/>
      <c r="H906" s="3"/>
      <c r="I906" s="3"/>
      <c r="J906" s="3"/>
      <c r="K906" s="3"/>
      <c r="L906" s="3"/>
      <c r="M906" s="3"/>
      <c r="N906" s="3"/>
      <c r="O906" s="3"/>
      <c r="P906" s="3"/>
      <c r="Q906" s="3"/>
      <c r="R906" s="3"/>
      <c r="S906" s="3"/>
      <c r="T906" s="3"/>
      <c r="U906" s="3"/>
      <c r="V906" s="3"/>
      <c r="W906" s="3"/>
      <c r="X906" s="3"/>
      <c r="Y906" s="3"/>
      <c r="Z906" s="3"/>
    </row>
    <row r="907" ht="15.75" customHeight="1">
      <c r="A907" s="3"/>
      <c r="B907" s="3"/>
      <c r="C907" s="7"/>
      <c r="D907" s="3"/>
      <c r="E907" s="3"/>
      <c r="F907" s="7"/>
      <c r="G907" s="4"/>
      <c r="H907" s="3"/>
      <c r="I907" s="3"/>
      <c r="J907" s="3"/>
      <c r="K907" s="3"/>
      <c r="L907" s="3"/>
      <c r="M907" s="3"/>
      <c r="N907" s="3"/>
      <c r="O907" s="3"/>
      <c r="P907" s="3"/>
      <c r="Q907" s="3"/>
      <c r="R907" s="3"/>
      <c r="S907" s="3"/>
      <c r="T907" s="3"/>
      <c r="U907" s="3"/>
      <c r="V907" s="3"/>
      <c r="W907" s="3"/>
      <c r="X907" s="3"/>
      <c r="Y907" s="3"/>
      <c r="Z907" s="3"/>
    </row>
    <row r="908" ht="15.75" customHeight="1">
      <c r="A908" s="3"/>
      <c r="B908" s="3"/>
      <c r="C908" s="7"/>
      <c r="D908" s="3"/>
      <c r="E908" s="3"/>
      <c r="F908" s="7"/>
      <c r="G908" s="4"/>
      <c r="H908" s="3"/>
      <c r="I908" s="3"/>
      <c r="J908" s="3"/>
      <c r="K908" s="3"/>
      <c r="L908" s="3"/>
      <c r="M908" s="3"/>
      <c r="N908" s="3"/>
      <c r="O908" s="3"/>
      <c r="P908" s="3"/>
      <c r="Q908" s="3"/>
      <c r="R908" s="3"/>
      <c r="S908" s="3"/>
      <c r="T908" s="3"/>
      <c r="U908" s="3"/>
      <c r="V908" s="3"/>
      <c r="W908" s="3"/>
      <c r="X908" s="3"/>
      <c r="Y908" s="3"/>
      <c r="Z908" s="3"/>
    </row>
    <row r="909" ht="15.75" customHeight="1">
      <c r="A909" s="3"/>
      <c r="B909" s="3"/>
      <c r="C909" s="7"/>
      <c r="D909" s="3"/>
      <c r="E909" s="3"/>
      <c r="F909" s="7"/>
      <c r="G909" s="4"/>
      <c r="H909" s="3"/>
      <c r="I909" s="3"/>
      <c r="J909" s="3"/>
      <c r="K909" s="3"/>
      <c r="L909" s="3"/>
      <c r="M909" s="3"/>
      <c r="N909" s="3"/>
      <c r="O909" s="3"/>
      <c r="P909" s="3"/>
      <c r="Q909" s="3"/>
      <c r="R909" s="3"/>
      <c r="S909" s="3"/>
      <c r="T909" s="3"/>
      <c r="U909" s="3"/>
      <c r="V909" s="3"/>
      <c r="W909" s="3"/>
      <c r="X909" s="3"/>
      <c r="Y909" s="3"/>
      <c r="Z909" s="3"/>
    </row>
    <row r="910" ht="15.75" customHeight="1">
      <c r="A910" s="3"/>
      <c r="B910" s="3"/>
      <c r="C910" s="7"/>
      <c r="D910" s="3"/>
      <c r="E910" s="3"/>
      <c r="F910" s="7"/>
      <c r="G910" s="4"/>
      <c r="H910" s="3"/>
      <c r="I910" s="3"/>
      <c r="J910" s="3"/>
      <c r="K910" s="3"/>
      <c r="L910" s="3"/>
      <c r="M910" s="3"/>
      <c r="N910" s="3"/>
      <c r="O910" s="3"/>
      <c r="P910" s="3"/>
      <c r="Q910" s="3"/>
      <c r="R910" s="3"/>
      <c r="S910" s="3"/>
      <c r="T910" s="3"/>
      <c r="U910" s="3"/>
      <c r="V910" s="3"/>
      <c r="W910" s="3"/>
      <c r="X910" s="3"/>
      <c r="Y910" s="3"/>
      <c r="Z910" s="3"/>
    </row>
    <row r="911" ht="15.75" customHeight="1">
      <c r="A911" s="3"/>
      <c r="B911" s="3"/>
      <c r="C911" s="7"/>
      <c r="D911" s="3"/>
      <c r="E911" s="3"/>
      <c r="F911" s="7"/>
      <c r="G911" s="4"/>
      <c r="H911" s="3"/>
      <c r="I911" s="3"/>
      <c r="J911" s="3"/>
      <c r="K911" s="3"/>
      <c r="L911" s="3"/>
      <c r="M911" s="3"/>
      <c r="N911" s="3"/>
      <c r="O911" s="3"/>
      <c r="P911" s="3"/>
      <c r="Q911" s="3"/>
      <c r="R911" s="3"/>
      <c r="S911" s="3"/>
      <c r="T911" s="3"/>
      <c r="U911" s="3"/>
      <c r="V911" s="3"/>
      <c r="W911" s="3"/>
      <c r="X911" s="3"/>
      <c r="Y911" s="3"/>
      <c r="Z911" s="3"/>
    </row>
    <row r="912" ht="15.75" customHeight="1">
      <c r="A912" s="3"/>
      <c r="B912" s="3"/>
      <c r="C912" s="7"/>
      <c r="D912" s="3"/>
      <c r="E912" s="3"/>
      <c r="F912" s="7"/>
      <c r="G912" s="4"/>
      <c r="H912" s="3"/>
      <c r="I912" s="3"/>
      <c r="J912" s="3"/>
      <c r="K912" s="3"/>
      <c r="L912" s="3"/>
      <c r="M912" s="3"/>
      <c r="N912" s="3"/>
      <c r="O912" s="3"/>
      <c r="P912" s="3"/>
      <c r="Q912" s="3"/>
      <c r="R912" s="3"/>
      <c r="S912" s="3"/>
      <c r="T912" s="3"/>
      <c r="U912" s="3"/>
      <c r="V912" s="3"/>
      <c r="W912" s="3"/>
      <c r="X912" s="3"/>
      <c r="Y912" s="3"/>
      <c r="Z912" s="3"/>
    </row>
    <row r="913" ht="15.75" customHeight="1">
      <c r="A913" s="3"/>
      <c r="B913" s="3"/>
      <c r="C913" s="7"/>
      <c r="D913" s="3"/>
      <c r="E913" s="3"/>
      <c r="F913" s="7"/>
      <c r="G913" s="4"/>
      <c r="H913" s="3"/>
      <c r="I913" s="3"/>
      <c r="J913" s="3"/>
      <c r="K913" s="3"/>
      <c r="L913" s="3"/>
      <c r="M913" s="3"/>
      <c r="N913" s="3"/>
      <c r="O913" s="3"/>
      <c r="P913" s="3"/>
      <c r="Q913" s="3"/>
      <c r="R913" s="3"/>
      <c r="S913" s="3"/>
      <c r="T913" s="3"/>
      <c r="U913" s="3"/>
      <c r="V913" s="3"/>
      <c r="W913" s="3"/>
      <c r="X913" s="3"/>
      <c r="Y913" s="3"/>
      <c r="Z913" s="3"/>
    </row>
    <row r="914" ht="15.75" customHeight="1">
      <c r="A914" s="3"/>
      <c r="B914" s="3"/>
      <c r="C914" s="7"/>
      <c r="D914" s="3"/>
      <c r="E914" s="3"/>
      <c r="F914" s="7"/>
      <c r="G914" s="4"/>
      <c r="H914" s="3"/>
      <c r="I914" s="3"/>
      <c r="J914" s="3"/>
      <c r="K914" s="3"/>
      <c r="L914" s="3"/>
      <c r="M914" s="3"/>
      <c r="N914" s="3"/>
      <c r="O914" s="3"/>
      <c r="P914" s="3"/>
      <c r="Q914" s="3"/>
      <c r="R914" s="3"/>
      <c r="S914" s="3"/>
      <c r="T914" s="3"/>
      <c r="U914" s="3"/>
      <c r="V914" s="3"/>
      <c r="W914" s="3"/>
      <c r="X914" s="3"/>
      <c r="Y914" s="3"/>
      <c r="Z914" s="3"/>
    </row>
    <row r="915" ht="15.75" customHeight="1">
      <c r="A915" s="3"/>
      <c r="B915" s="3"/>
      <c r="C915" s="7"/>
      <c r="D915" s="3"/>
      <c r="E915" s="3"/>
      <c r="F915" s="7"/>
      <c r="G915" s="4"/>
      <c r="H915" s="3"/>
      <c r="I915" s="3"/>
      <c r="J915" s="3"/>
      <c r="K915" s="3"/>
      <c r="L915" s="3"/>
      <c r="M915" s="3"/>
      <c r="N915" s="3"/>
      <c r="O915" s="3"/>
      <c r="P915" s="3"/>
      <c r="Q915" s="3"/>
      <c r="R915" s="3"/>
      <c r="S915" s="3"/>
      <c r="T915" s="3"/>
      <c r="U915" s="3"/>
      <c r="V915" s="3"/>
      <c r="W915" s="3"/>
      <c r="X915" s="3"/>
      <c r="Y915" s="3"/>
      <c r="Z915" s="3"/>
    </row>
    <row r="916" ht="15.75" customHeight="1">
      <c r="A916" s="3"/>
      <c r="B916" s="3"/>
      <c r="C916" s="7"/>
      <c r="D916" s="3"/>
      <c r="E916" s="3"/>
      <c r="F916" s="7"/>
      <c r="G916" s="4"/>
      <c r="H916" s="3"/>
      <c r="I916" s="3"/>
      <c r="J916" s="3"/>
      <c r="K916" s="3"/>
      <c r="L916" s="3"/>
      <c r="M916" s="3"/>
      <c r="N916" s="3"/>
      <c r="O916" s="3"/>
      <c r="P916" s="3"/>
      <c r="Q916" s="3"/>
      <c r="R916" s="3"/>
      <c r="S916" s="3"/>
      <c r="T916" s="3"/>
      <c r="U916" s="3"/>
      <c r="V916" s="3"/>
      <c r="W916" s="3"/>
      <c r="X916" s="3"/>
      <c r="Y916" s="3"/>
      <c r="Z916" s="3"/>
    </row>
    <row r="917" ht="15.75" customHeight="1">
      <c r="A917" s="3"/>
      <c r="B917" s="3"/>
      <c r="C917" s="7"/>
      <c r="D917" s="3"/>
      <c r="E917" s="3"/>
      <c r="F917" s="7"/>
      <c r="G917" s="4"/>
      <c r="H917" s="3"/>
      <c r="I917" s="3"/>
      <c r="J917" s="3"/>
      <c r="K917" s="3"/>
      <c r="L917" s="3"/>
      <c r="M917" s="3"/>
      <c r="N917" s="3"/>
      <c r="O917" s="3"/>
      <c r="P917" s="3"/>
      <c r="Q917" s="3"/>
      <c r="R917" s="3"/>
      <c r="S917" s="3"/>
      <c r="T917" s="3"/>
      <c r="U917" s="3"/>
      <c r="V917" s="3"/>
      <c r="W917" s="3"/>
      <c r="X917" s="3"/>
      <c r="Y917" s="3"/>
      <c r="Z917" s="3"/>
    </row>
    <row r="918" ht="15.75" customHeight="1">
      <c r="A918" s="3"/>
      <c r="B918" s="3"/>
      <c r="C918" s="7"/>
      <c r="D918" s="3"/>
      <c r="E918" s="3"/>
      <c r="F918" s="7"/>
      <c r="G918" s="4"/>
      <c r="H918" s="3"/>
      <c r="I918" s="3"/>
      <c r="J918" s="3"/>
      <c r="K918" s="3"/>
      <c r="L918" s="3"/>
      <c r="M918" s="3"/>
      <c r="N918" s="3"/>
      <c r="O918" s="3"/>
      <c r="P918" s="3"/>
      <c r="Q918" s="3"/>
      <c r="R918" s="3"/>
      <c r="S918" s="3"/>
      <c r="T918" s="3"/>
      <c r="U918" s="3"/>
      <c r="V918" s="3"/>
      <c r="W918" s="3"/>
      <c r="X918" s="3"/>
      <c r="Y918" s="3"/>
      <c r="Z918" s="3"/>
    </row>
    <row r="919" ht="15.75" customHeight="1">
      <c r="A919" s="3"/>
      <c r="B919" s="3"/>
      <c r="C919" s="7"/>
      <c r="D919" s="3"/>
      <c r="E919" s="3"/>
      <c r="F919" s="7"/>
      <c r="G919" s="4"/>
      <c r="H919" s="3"/>
      <c r="I919" s="3"/>
      <c r="J919" s="3"/>
      <c r="K919" s="3"/>
      <c r="L919" s="3"/>
      <c r="M919" s="3"/>
      <c r="N919" s="3"/>
      <c r="O919" s="3"/>
      <c r="P919" s="3"/>
      <c r="Q919" s="3"/>
      <c r="R919" s="3"/>
      <c r="S919" s="3"/>
      <c r="T919" s="3"/>
      <c r="U919" s="3"/>
      <c r="V919" s="3"/>
      <c r="W919" s="3"/>
      <c r="X919" s="3"/>
      <c r="Y919" s="3"/>
      <c r="Z919" s="3"/>
    </row>
    <row r="920" ht="15.75" customHeight="1">
      <c r="A920" s="3"/>
      <c r="B920" s="3"/>
      <c r="C920" s="7"/>
      <c r="D920" s="3"/>
      <c r="E920" s="3"/>
      <c r="F920" s="7"/>
      <c r="G920" s="4"/>
      <c r="H920" s="3"/>
      <c r="I920" s="3"/>
      <c r="J920" s="3"/>
      <c r="K920" s="3"/>
      <c r="L920" s="3"/>
      <c r="M920" s="3"/>
      <c r="N920" s="3"/>
      <c r="O920" s="3"/>
      <c r="P920" s="3"/>
      <c r="Q920" s="3"/>
      <c r="R920" s="3"/>
      <c r="S920" s="3"/>
      <c r="T920" s="3"/>
      <c r="U920" s="3"/>
      <c r="V920" s="3"/>
      <c r="W920" s="3"/>
      <c r="X920" s="3"/>
      <c r="Y920" s="3"/>
      <c r="Z920" s="3"/>
    </row>
    <row r="921" ht="15.75" customHeight="1">
      <c r="A921" s="3"/>
      <c r="B921" s="3"/>
      <c r="C921" s="7"/>
      <c r="D921" s="3"/>
      <c r="E921" s="3"/>
      <c r="F921" s="7"/>
      <c r="G921" s="4"/>
      <c r="H921" s="3"/>
      <c r="I921" s="3"/>
      <c r="J921" s="3"/>
      <c r="K921" s="3"/>
      <c r="L921" s="3"/>
      <c r="M921" s="3"/>
      <c r="N921" s="3"/>
      <c r="O921" s="3"/>
      <c r="P921" s="3"/>
      <c r="Q921" s="3"/>
      <c r="R921" s="3"/>
      <c r="S921" s="3"/>
      <c r="T921" s="3"/>
      <c r="U921" s="3"/>
      <c r="V921" s="3"/>
      <c r="W921" s="3"/>
      <c r="X921" s="3"/>
      <c r="Y921" s="3"/>
      <c r="Z921" s="3"/>
    </row>
    <row r="922" ht="15.75" customHeight="1">
      <c r="A922" s="3"/>
      <c r="B922" s="3"/>
      <c r="C922" s="7"/>
      <c r="D922" s="3"/>
      <c r="E922" s="3"/>
      <c r="F922" s="7"/>
      <c r="G922" s="4"/>
      <c r="H922" s="3"/>
      <c r="I922" s="3"/>
      <c r="J922" s="3"/>
      <c r="K922" s="3"/>
      <c r="L922" s="3"/>
      <c r="M922" s="3"/>
      <c r="N922" s="3"/>
      <c r="O922" s="3"/>
      <c r="P922" s="3"/>
      <c r="Q922" s="3"/>
      <c r="R922" s="3"/>
      <c r="S922" s="3"/>
      <c r="T922" s="3"/>
      <c r="U922" s="3"/>
      <c r="V922" s="3"/>
      <c r="W922" s="3"/>
      <c r="X922" s="3"/>
      <c r="Y922" s="3"/>
      <c r="Z922" s="3"/>
    </row>
    <row r="923" ht="15.75" customHeight="1">
      <c r="A923" s="3"/>
      <c r="B923" s="3"/>
      <c r="C923" s="7"/>
      <c r="D923" s="3"/>
      <c r="E923" s="3"/>
      <c r="F923" s="7"/>
      <c r="G923" s="4"/>
      <c r="H923" s="3"/>
      <c r="I923" s="3"/>
      <c r="J923" s="3"/>
      <c r="K923" s="3"/>
      <c r="L923" s="3"/>
      <c r="M923" s="3"/>
      <c r="N923" s="3"/>
      <c r="O923" s="3"/>
      <c r="P923" s="3"/>
      <c r="Q923" s="3"/>
      <c r="R923" s="3"/>
      <c r="S923" s="3"/>
      <c r="T923" s="3"/>
      <c r="U923" s="3"/>
      <c r="V923" s="3"/>
      <c r="W923" s="3"/>
      <c r="X923" s="3"/>
      <c r="Y923" s="3"/>
      <c r="Z923" s="3"/>
    </row>
    <row r="924" ht="15.75" customHeight="1">
      <c r="A924" s="3"/>
      <c r="B924" s="3"/>
      <c r="C924" s="7"/>
      <c r="D924" s="3"/>
      <c r="E924" s="3"/>
      <c r="F924" s="7"/>
      <c r="G924" s="4"/>
      <c r="H924" s="3"/>
      <c r="I924" s="3"/>
      <c r="J924" s="3"/>
      <c r="K924" s="3"/>
      <c r="L924" s="3"/>
      <c r="M924" s="3"/>
      <c r="N924" s="3"/>
      <c r="O924" s="3"/>
      <c r="P924" s="3"/>
      <c r="Q924" s="3"/>
      <c r="R924" s="3"/>
      <c r="S924" s="3"/>
      <c r="T924" s="3"/>
      <c r="U924" s="3"/>
      <c r="V924" s="3"/>
      <c r="W924" s="3"/>
      <c r="X924" s="3"/>
      <c r="Y924" s="3"/>
      <c r="Z924" s="3"/>
    </row>
    <row r="925" ht="15.75" customHeight="1">
      <c r="A925" s="3"/>
      <c r="B925" s="3"/>
      <c r="C925" s="7"/>
      <c r="D925" s="3"/>
      <c r="E925" s="3"/>
      <c r="F925" s="7"/>
      <c r="G925" s="4"/>
      <c r="H925" s="3"/>
      <c r="I925" s="3"/>
      <c r="J925" s="3"/>
      <c r="K925" s="3"/>
      <c r="L925" s="3"/>
      <c r="M925" s="3"/>
      <c r="N925" s="3"/>
      <c r="O925" s="3"/>
      <c r="P925" s="3"/>
      <c r="Q925" s="3"/>
      <c r="R925" s="3"/>
      <c r="S925" s="3"/>
      <c r="T925" s="3"/>
      <c r="U925" s="3"/>
      <c r="V925" s="3"/>
      <c r="W925" s="3"/>
      <c r="X925" s="3"/>
      <c r="Y925" s="3"/>
      <c r="Z925" s="3"/>
    </row>
    <row r="926" ht="15.75" customHeight="1">
      <c r="A926" s="3"/>
      <c r="B926" s="3"/>
      <c r="C926" s="7"/>
      <c r="D926" s="3"/>
      <c r="E926" s="3"/>
      <c r="F926" s="7"/>
      <c r="G926" s="4"/>
      <c r="H926" s="3"/>
      <c r="I926" s="3"/>
      <c r="J926" s="3"/>
      <c r="K926" s="3"/>
      <c r="L926" s="3"/>
      <c r="M926" s="3"/>
      <c r="N926" s="3"/>
      <c r="O926" s="3"/>
      <c r="P926" s="3"/>
      <c r="Q926" s="3"/>
      <c r="R926" s="3"/>
      <c r="S926" s="3"/>
      <c r="T926" s="3"/>
      <c r="U926" s="3"/>
      <c r="V926" s="3"/>
      <c r="W926" s="3"/>
      <c r="X926" s="3"/>
      <c r="Y926" s="3"/>
      <c r="Z926" s="3"/>
    </row>
    <row r="927" ht="15.75" customHeight="1">
      <c r="A927" s="3"/>
      <c r="B927" s="3"/>
      <c r="C927" s="7"/>
      <c r="D927" s="3"/>
      <c r="E927" s="3"/>
      <c r="F927" s="7"/>
      <c r="G927" s="4"/>
      <c r="H927" s="3"/>
      <c r="I927" s="3"/>
      <c r="J927" s="3"/>
      <c r="K927" s="3"/>
      <c r="L927" s="3"/>
      <c r="M927" s="3"/>
      <c r="N927" s="3"/>
      <c r="O927" s="3"/>
      <c r="P927" s="3"/>
      <c r="Q927" s="3"/>
      <c r="R927" s="3"/>
      <c r="S927" s="3"/>
      <c r="T927" s="3"/>
      <c r="U927" s="3"/>
      <c r="V927" s="3"/>
      <c r="W927" s="3"/>
      <c r="X927" s="3"/>
      <c r="Y927" s="3"/>
      <c r="Z927" s="3"/>
    </row>
    <row r="928" ht="15.75" customHeight="1">
      <c r="A928" s="3"/>
      <c r="B928" s="3"/>
      <c r="C928" s="7"/>
      <c r="D928" s="3"/>
      <c r="E928" s="3"/>
      <c r="F928" s="7"/>
      <c r="G928" s="4"/>
      <c r="H928" s="3"/>
      <c r="I928" s="3"/>
      <c r="J928" s="3"/>
      <c r="K928" s="3"/>
      <c r="L928" s="3"/>
      <c r="M928" s="3"/>
      <c r="N928" s="3"/>
      <c r="O928" s="3"/>
      <c r="P928" s="3"/>
      <c r="Q928" s="3"/>
      <c r="R928" s="3"/>
      <c r="S928" s="3"/>
      <c r="T928" s="3"/>
      <c r="U928" s="3"/>
      <c r="V928" s="3"/>
      <c r="W928" s="3"/>
      <c r="X928" s="3"/>
      <c r="Y928" s="3"/>
      <c r="Z928" s="3"/>
    </row>
    <row r="929" ht="15.75" customHeight="1">
      <c r="A929" s="3"/>
      <c r="B929" s="3"/>
      <c r="C929" s="7"/>
      <c r="D929" s="3"/>
      <c r="E929" s="3"/>
      <c r="F929" s="7"/>
      <c r="G929" s="4"/>
      <c r="H929" s="3"/>
      <c r="I929" s="3"/>
      <c r="J929" s="3"/>
      <c r="K929" s="3"/>
      <c r="L929" s="3"/>
      <c r="M929" s="3"/>
      <c r="N929" s="3"/>
      <c r="O929" s="3"/>
      <c r="P929" s="3"/>
      <c r="Q929" s="3"/>
      <c r="R929" s="3"/>
      <c r="S929" s="3"/>
      <c r="T929" s="3"/>
      <c r="U929" s="3"/>
      <c r="V929" s="3"/>
      <c r="W929" s="3"/>
      <c r="X929" s="3"/>
      <c r="Y929" s="3"/>
      <c r="Z929" s="3"/>
    </row>
    <row r="930" ht="15.75" customHeight="1">
      <c r="A930" s="3"/>
      <c r="B930" s="3"/>
      <c r="C930" s="7"/>
      <c r="D930" s="3"/>
      <c r="E930" s="3"/>
      <c r="F930" s="7"/>
      <c r="G930" s="4"/>
      <c r="H930" s="3"/>
      <c r="I930" s="3"/>
      <c r="J930" s="3"/>
      <c r="K930" s="3"/>
      <c r="L930" s="3"/>
      <c r="M930" s="3"/>
      <c r="N930" s="3"/>
      <c r="O930" s="3"/>
      <c r="P930" s="3"/>
      <c r="Q930" s="3"/>
      <c r="R930" s="3"/>
      <c r="S930" s="3"/>
      <c r="T930" s="3"/>
      <c r="U930" s="3"/>
      <c r="V930" s="3"/>
      <c r="W930" s="3"/>
      <c r="X930" s="3"/>
      <c r="Y930" s="3"/>
      <c r="Z930" s="3"/>
    </row>
    <row r="931" ht="15.75" customHeight="1">
      <c r="A931" s="3"/>
      <c r="B931" s="3"/>
      <c r="C931" s="7"/>
      <c r="D931" s="3"/>
      <c r="E931" s="3"/>
      <c r="F931" s="7"/>
      <c r="G931" s="4"/>
      <c r="H931" s="3"/>
      <c r="I931" s="3"/>
      <c r="J931" s="3"/>
      <c r="K931" s="3"/>
      <c r="L931" s="3"/>
      <c r="M931" s="3"/>
      <c r="N931" s="3"/>
      <c r="O931" s="3"/>
      <c r="P931" s="3"/>
      <c r="Q931" s="3"/>
      <c r="R931" s="3"/>
      <c r="S931" s="3"/>
      <c r="T931" s="3"/>
      <c r="U931" s="3"/>
      <c r="V931" s="3"/>
      <c r="W931" s="3"/>
      <c r="X931" s="3"/>
      <c r="Y931" s="3"/>
      <c r="Z931" s="3"/>
    </row>
    <row r="932" ht="15.75" customHeight="1">
      <c r="A932" s="3"/>
      <c r="B932" s="3"/>
      <c r="C932" s="7"/>
      <c r="D932" s="3"/>
      <c r="E932" s="3"/>
      <c r="F932" s="7"/>
      <c r="G932" s="4"/>
      <c r="H932" s="3"/>
      <c r="I932" s="3"/>
      <c r="J932" s="3"/>
      <c r="K932" s="3"/>
      <c r="L932" s="3"/>
      <c r="M932" s="3"/>
      <c r="N932" s="3"/>
      <c r="O932" s="3"/>
      <c r="P932" s="3"/>
      <c r="Q932" s="3"/>
      <c r="R932" s="3"/>
      <c r="S932" s="3"/>
      <c r="T932" s="3"/>
      <c r="U932" s="3"/>
      <c r="V932" s="3"/>
      <c r="W932" s="3"/>
      <c r="X932" s="3"/>
      <c r="Y932" s="3"/>
      <c r="Z932" s="3"/>
    </row>
    <row r="933" ht="15.75" customHeight="1">
      <c r="A933" s="3"/>
      <c r="B933" s="3"/>
      <c r="C933" s="7"/>
      <c r="D933" s="3"/>
      <c r="E933" s="3"/>
      <c r="F933" s="7"/>
      <c r="G933" s="4"/>
      <c r="H933" s="3"/>
      <c r="I933" s="3"/>
      <c r="J933" s="3"/>
      <c r="K933" s="3"/>
      <c r="L933" s="3"/>
      <c r="M933" s="3"/>
      <c r="N933" s="3"/>
      <c r="O933" s="3"/>
      <c r="P933" s="3"/>
      <c r="Q933" s="3"/>
      <c r="R933" s="3"/>
      <c r="S933" s="3"/>
      <c r="T933" s="3"/>
      <c r="U933" s="3"/>
      <c r="V933" s="3"/>
      <c r="W933" s="3"/>
      <c r="X933" s="3"/>
      <c r="Y933" s="3"/>
      <c r="Z933" s="3"/>
    </row>
    <row r="934" ht="15.75" customHeight="1">
      <c r="A934" s="3"/>
      <c r="B934" s="3"/>
      <c r="C934" s="7"/>
      <c r="D934" s="3"/>
      <c r="E934" s="3"/>
      <c r="F934" s="7"/>
      <c r="G934" s="4"/>
      <c r="H934" s="3"/>
      <c r="I934" s="3"/>
      <c r="J934" s="3"/>
      <c r="K934" s="3"/>
      <c r="L934" s="3"/>
      <c r="M934" s="3"/>
      <c r="N934" s="3"/>
      <c r="O934" s="3"/>
      <c r="P934" s="3"/>
      <c r="Q934" s="3"/>
      <c r="R934" s="3"/>
      <c r="S934" s="3"/>
      <c r="T934" s="3"/>
      <c r="U934" s="3"/>
      <c r="V934" s="3"/>
      <c r="W934" s="3"/>
      <c r="X934" s="3"/>
      <c r="Y934" s="3"/>
      <c r="Z934" s="3"/>
    </row>
    <row r="935" ht="15.75" customHeight="1">
      <c r="A935" s="3"/>
      <c r="B935" s="3"/>
      <c r="C935" s="7"/>
      <c r="D935" s="3"/>
      <c r="E935" s="3"/>
      <c r="F935" s="7"/>
      <c r="G935" s="4"/>
      <c r="H935" s="3"/>
      <c r="I935" s="3"/>
      <c r="J935" s="3"/>
      <c r="K935" s="3"/>
      <c r="L935" s="3"/>
      <c r="M935" s="3"/>
      <c r="N935" s="3"/>
      <c r="O935" s="3"/>
      <c r="P935" s="3"/>
      <c r="Q935" s="3"/>
      <c r="R935" s="3"/>
      <c r="S935" s="3"/>
      <c r="T935" s="3"/>
      <c r="U935" s="3"/>
      <c r="V935" s="3"/>
      <c r="W935" s="3"/>
      <c r="X935" s="3"/>
      <c r="Y935" s="3"/>
      <c r="Z935" s="3"/>
    </row>
    <row r="936" ht="15.75" customHeight="1">
      <c r="A936" s="3"/>
      <c r="B936" s="3"/>
      <c r="C936" s="7"/>
      <c r="D936" s="3"/>
      <c r="E936" s="3"/>
      <c r="F936" s="7"/>
      <c r="G936" s="4"/>
      <c r="H936" s="3"/>
      <c r="I936" s="3"/>
      <c r="J936" s="3"/>
      <c r="K936" s="3"/>
      <c r="L936" s="3"/>
      <c r="M936" s="3"/>
      <c r="N936" s="3"/>
      <c r="O936" s="3"/>
      <c r="P936" s="3"/>
      <c r="Q936" s="3"/>
      <c r="R936" s="3"/>
      <c r="S936" s="3"/>
      <c r="T936" s="3"/>
      <c r="U936" s="3"/>
      <c r="V936" s="3"/>
      <c r="W936" s="3"/>
      <c r="X936" s="3"/>
      <c r="Y936" s="3"/>
      <c r="Z936" s="3"/>
    </row>
    <row r="937" ht="15.75" customHeight="1">
      <c r="A937" s="3"/>
      <c r="B937" s="3"/>
      <c r="C937" s="7"/>
      <c r="D937" s="3"/>
      <c r="E937" s="3"/>
      <c r="F937" s="7"/>
      <c r="G937" s="4"/>
      <c r="H937" s="3"/>
      <c r="I937" s="3"/>
      <c r="J937" s="3"/>
      <c r="K937" s="3"/>
      <c r="L937" s="3"/>
      <c r="M937" s="3"/>
      <c r="N937" s="3"/>
      <c r="O937" s="3"/>
      <c r="P937" s="3"/>
      <c r="Q937" s="3"/>
      <c r="R937" s="3"/>
      <c r="S937" s="3"/>
      <c r="T937" s="3"/>
      <c r="U937" s="3"/>
      <c r="V937" s="3"/>
      <c r="W937" s="3"/>
      <c r="X937" s="3"/>
      <c r="Y937" s="3"/>
      <c r="Z937" s="3"/>
    </row>
    <row r="938" ht="15.75" customHeight="1">
      <c r="A938" s="3"/>
      <c r="B938" s="3"/>
      <c r="C938" s="7"/>
      <c r="D938" s="3"/>
      <c r="E938" s="3"/>
      <c r="F938" s="7"/>
      <c r="G938" s="4"/>
      <c r="H938" s="3"/>
      <c r="I938" s="3"/>
      <c r="J938" s="3"/>
      <c r="K938" s="3"/>
      <c r="L938" s="3"/>
      <c r="M938" s="3"/>
      <c r="N938" s="3"/>
      <c r="O938" s="3"/>
      <c r="P938" s="3"/>
      <c r="Q938" s="3"/>
      <c r="R938" s="3"/>
      <c r="S938" s="3"/>
      <c r="T938" s="3"/>
      <c r="U938" s="3"/>
      <c r="V938" s="3"/>
      <c r="W938" s="3"/>
      <c r="X938" s="3"/>
      <c r="Y938" s="3"/>
      <c r="Z938" s="3"/>
    </row>
    <row r="939" ht="15.75" customHeight="1">
      <c r="A939" s="3"/>
      <c r="B939" s="3"/>
      <c r="C939" s="7"/>
      <c r="D939" s="3"/>
      <c r="E939" s="3"/>
      <c r="F939" s="7"/>
      <c r="G939" s="4"/>
      <c r="H939" s="3"/>
      <c r="I939" s="3"/>
      <c r="J939" s="3"/>
      <c r="K939" s="3"/>
      <c r="L939" s="3"/>
      <c r="M939" s="3"/>
      <c r="N939" s="3"/>
      <c r="O939" s="3"/>
      <c r="P939" s="3"/>
      <c r="Q939" s="3"/>
      <c r="R939" s="3"/>
      <c r="S939" s="3"/>
      <c r="T939" s="3"/>
      <c r="U939" s="3"/>
      <c r="V939" s="3"/>
      <c r="W939" s="3"/>
      <c r="X939" s="3"/>
      <c r="Y939" s="3"/>
      <c r="Z939" s="3"/>
    </row>
    <row r="940" ht="15.75" customHeight="1">
      <c r="A940" s="3"/>
      <c r="B940" s="3"/>
      <c r="C940" s="7"/>
      <c r="D940" s="3"/>
      <c r="E940" s="3"/>
      <c r="F940" s="7"/>
      <c r="G940" s="4"/>
      <c r="H940" s="3"/>
      <c r="I940" s="3"/>
      <c r="J940" s="3"/>
      <c r="K940" s="3"/>
      <c r="L940" s="3"/>
      <c r="M940" s="3"/>
      <c r="N940" s="3"/>
      <c r="O940" s="3"/>
      <c r="P940" s="3"/>
      <c r="Q940" s="3"/>
      <c r="R940" s="3"/>
      <c r="S940" s="3"/>
      <c r="T940" s="3"/>
      <c r="U940" s="3"/>
      <c r="V940" s="3"/>
      <c r="W940" s="3"/>
      <c r="X940" s="3"/>
      <c r="Y940" s="3"/>
      <c r="Z940" s="3"/>
    </row>
    <row r="941" ht="15.75" customHeight="1">
      <c r="A941" s="3"/>
      <c r="B941" s="3"/>
      <c r="C941" s="7"/>
      <c r="D941" s="3"/>
      <c r="E941" s="3"/>
      <c r="F941" s="7"/>
      <c r="G941" s="4"/>
      <c r="H941" s="3"/>
      <c r="I941" s="3"/>
      <c r="J941" s="3"/>
      <c r="K941" s="3"/>
      <c r="L941" s="3"/>
      <c r="M941" s="3"/>
      <c r="N941" s="3"/>
      <c r="O941" s="3"/>
      <c r="P941" s="3"/>
      <c r="Q941" s="3"/>
      <c r="R941" s="3"/>
      <c r="S941" s="3"/>
      <c r="T941" s="3"/>
      <c r="U941" s="3"/>
      <c r="V941" s="3"/>
      <c r="W941" s="3"/>
      <c r="X941" s="3"/>
      <c r="Y941" s="3"/>
      <c r="Z941" s="3"/>
    </row>
    <row r="942" ht="15.75" customHeight="1">
      <c r="A942" s="3"/>
      <c r="B942" s="3"/>
      <c r="C942" s="7"/>
      <c r="D942" s="3"/>
      <c r="E942" s="3"/>
      <c r="F942" s="7"/>
      <c r="G942" s="4"/>
      <c r="H942" s="3"/>
      <c r="I942" s="3"/>
      <c r="J942" s="3"/>
      <c r="K942" s="3"/>
      <c r="L942" s="3"/>
      <c r="M942" s="3"/>
      <c r="N942" s="3"/>
      <c r="O942" s="3"/>
      <c r="P942" s="3"/>
      <c r="Q942" s="3"/>
      <c r="R942" s="3"/>
      <c r="S942" s="3"/>
      <c r="T942" s="3"/>
      <c r="U942" s="3"/>
      <c r="V942" s="3"/>
      <c r="W942" s="3"/>
      <c r="X942" s="3"/>
      <c r="Y942" s="3"/>
      <c r="Z942" s="3"/>
    </row>
    <row r="943" ht="15.75" customHeight="1">
      <c r="A943" s="3"/>
      <c r="B943" s="3"/>
      <c r="C943" s="7"/>
      <c r="D943" s="3"/>
      <c r="E943" s="3"/>
      <c r="F943" s="7"/>
      <c r="G943" s="4"/>
      <c r="H943" s="3"/>
      <c r="I943" s="3"/>
      <c r="J943" s="3"/>
      <c r="K943" s="3"/>
      <c r="L943" s="3"/>
      <c r="M943" s="3"/>
      <c r="N943" s="3"/>
      <c r="O943" s="3"/>
      <c r="P943" s="3"/>
      <c r="Q943" s="3"/>
      <c r="R943" s="3"/>
      <c r="S943" s="3"/>
      <c r="T943" s="3"/>
      <c r="U943" s="3"/>
      <c r="V943" s="3"/>
      <c r="W943" s="3"/>
      <c r="X943" s="3"/>
      <c r="Y943" s="3"/>
      <c r="Z943" s="3"/>
    </row>
    <row r="944" ht="15.75" customHeight="1">
      <c r="A944" s="3"/>
      <c r="B944" s="3"/>
      <c r="C944" s="7"/>
      <c r="D944" s="3"/>
      <c r="E944" s="3"/>
      <c r="F944" s="7"/>
      <c r="G944" s="4"/>
      <c r="H944" s="3"/>
      <c r="I944" s="3"/>
      <c r="J944" s="3"/>
      <c r="K944" s="3"/>
      <c r="L944" s="3"/>
      <c r="M944" s="3"/>
      <c r="N944" s="3"/>
      <c r="O944" s="3"/>
      <c r="P944" s="3"/>
      <c r="Q944" s="3"/>
      <c r="R944" s="3"/>
      <c r="S944" s="3"/>
      <c r="T944" s="3"/>
      <c r="U944" s="3"/>
      <c r="V944" s="3"/>
      <c r="W944" s="3"/>
      <c r="X944" s="3"/>
      <c r="Y944" s="3"/>
      <c r="Z944" s="3"/>
    </row>
    <row r="945" ht="15.75" customHeight="1">
      <c r="A945" s="3"/>
      <c r="B945" s="3"/>
      <c r="C945" s="7"/>
      <c r="D945" s="3"/>
      <c r="E945" s="3"/>
      <c r="F945" s="7"/>
      <c r="G945" s="4"/>
      <c r="H945" s="3"/>
      <c r="I945" s="3"/>
      <c r="J945" s="3"/>
      <c r="K945" s="3"/>
      <c r="L945" s="3"/>
      <c r="M945" s="3"/>
      <c r="N945" s="3"/>
      <c r="O945" s="3"/>
      <c r="P945" s="3"/>
      <c r="Q945" s="3"/>
      <c r="R945" s="3"/>
      <c r="S945" s="3"/>
      <c r="T945" s="3"/>
      <c r="U945" s="3"/>
      <c r="V945" s="3"/>
      <c r="W945" s="3"/>
      <c r="X945" s="3"/>
      <c r="Y945" s="3"/>
      <c r="Z945" s="3"/>
    </row>
    <row r="946" ht="15.75" customHeight="1">
      <c r="A946" s="3"/>
      <c r="B946" s="3"/>
      <c r="C946" s="7"/>
      <c r="D946" s="3"/>
      <c r="E946" s="3"/>
      <c r="F946" s="7"/>
      <c r="G946" s="4"/>
      <c r="H946" s="3"/>
      <c r="I946" s="3"/>
      <c r="J946" s="3"/>
      <c r="K946" s="3"/>
      <c r="L946" s="3"/>
      <c r="M946" s="3"/>
      <c r="N946" s="3"/>
      <c r="O946" s="3"/>
      <c r="P946" s="3"/>
      <c r="Q946" s="3"/>
      <c r="R946" s="3"/>
      <c r="S946" s="3"/>
      <c r="T946" s="3"/>
      <c r="U946" s="3"/>
      <c r="V946" s="3"/>
      <c r="W946" s="3"/>
      <c r="X946" s="3"/>
      <c r="Y946" s="3"/>
      <c r="Z946" s="3"/>
    </row>
    <row r="947" ht="15.75" customHeight="1">
      <c r="A947" s="3"/>
      <c r="B947" s="3"/>
      <c r="C947" s="7"/>
      <c r="D947" s="3"/>
      <c r="E947" s="3"/>
      <c r="F947" s="7"/>
      <c r="G947" s="4"/>
      <c r="H947" s="3"/>
      <c r="I947" s="3"/>
      <c r="J947" s="3"/>
      <c r="K947" s="3"/>
      <c r="L947" s="3"/>
      <c r="M947" s="3"/>
      <c r="N947" s="3"/>
      <c r="O947" s="3"/>
      <c r="P947" s="3"/>
      <c r="Q947" s="3"/>
      <c r="R947" s="3"/>
      <c r="S947" s="3"/>
      <c r="T947" s="3"/>
      <c r="U947" s="3"/>
      <c r="V947" s="3"/>
      <c r="W947" s="3"/>
      <c r="X947" s="3"/>
      <c r="Y947" s="3"/>
      <c r="Z947" s="3"/>
    </row>
    <row r="948" ht="15.75" customHeight="1">
      <c r="A948" s="3"/>
      <c r="B948" s="3"/>
      <c r="C948" s="7"/>
      <c r="D948" s="3"/>
      <c r="E948" s="3"/>
      <c r="F948" s="7"/>
      <c r="G948" s="4"/>
      <c r="H948" s="3"/>
      <c r="I948" s="3"/>
      <c r="J948" s="3"/>
      <c r="K948" s="3"/>
      <c r="L948" s="3"/>
      <c r="M948" s="3"/>
      <c r="N948" s="3"/>
      <c r="O948" s="3"/>
      <c r="P948" s="3"/>
      <c r="Q948" s="3"/>
      <c r="R948" s="3"/>
      <c r="S948" s="3"/>
      <c r="T948" s="3"/>
      <c r="U948" s="3"/>
      <c r="V948" s="3"/>
      <c r="W948" s="3"/>
      <c r="X948" s="3"/>
      <c r="Y948" s="3"/>
      <c r="Z948" s="3"/>
    </row>
    <row r="949" ht="15.75" customHeight="1">
      <c r="A949" s="3"/>
      <c r="B949" s="3"/>
      <c r="C949" s="7"/>
      <c r="D949" s="3"/>
      <c r="E949" s="3"/>
      <c r="F949" s="7"/>
      <c r="G949" s="4"/>
      <c r="H949" s="3"/>
      <c r="I949" s="3"/>
      <c r="J949" s="3"/>
      <c r="K949" s="3"/>
      <c r="L949" s="3"/>
      <c r="M949" s="3"/>
      <c r="N949" s="3"/>
      <c r="O949" s="3"/>
      <c r="P949" s="3"/>
      <c r="Q949" s="3"/>
      <c r="R949" s="3"/>
      <c r="S949" s="3"/>
      <c r="T949" s="3"/>
      <c r="U949" s="3"/>
      <c r="V949" s="3"/>
      <c r="W949" s="3"/>
      <c r="X949" s="3"/>
      <c r="Y949" s="3"/>
      <c r="Z949" s="3"/>
    </row>
    <row r="950" ht="15.75" customHeight="1">
      <c r="A950" s="3"/>
      <c r="B950" s="3"/>
      <c r="C950" s="7"/>
      <c r="D950" s="3"/>
      <c r="E950" s="3"/>
      <c r="F950" s="7"/>
      <c r="G950" s="4"/>
      <c r="H950" s="3"/>
      <c r="I950" s="3"/>
      <c r="J950" s="3"/>
      <c r="K950" s="3"/>
      <c r="L950" s="3"/>
      <c r="M950" s="3"/>
      <c r="N950" s="3"/>
      <c r="O950" s="3"/>
      <c r="P950" s="3"/>
      <c r="Q950" s="3"/>
      <c r="R950" s="3"/>
      <c r="S950" s="3"/>
      <c r="T950" s="3"/>
      <c r="U950" s="3"/>
      <c r="V950" s="3"/>
      <c r="W950" s="3"/>
      <c r="X950" s="3"/>
      <c r="Y950" s="3"/>
      <c r="Z950" s="3"/>
    </row>
    <row r="951" ht="15.75" customHeight="1">
      <c r="A951" s="3"/>
      <c r="B951" s="3"/>
      <c r="C951" s="7"/>
      <c r="D951" s="3"/>
      <c r="E951" s="3"/>
      <c r="F951" s="7"/>
      <c r="G951" s="4"/>
      <c r="H951" s="3"/>
      <c r="I951" s="3"/>
      <c r="J951" s="3"/>
      <c r="K951" s="3"/>
      <c r="L951" s="3"/>
      <c r="M951" s="3"/>
      <c r="N951" s="3"/>
      <c r="O951" s="3"/>
      <c r="P951" s="3"/>
      <c r="Q951" s="3"/>
      <c r="R951" s="3"/>
      <c r="S951" s="3"/>
      <c r="T951" s="3"/>
      <c r="U951" s="3"/>
      <c r="V951" s="3"/>
      <c r="W951" s="3"/>
      <c r="X951" s="3"/>
      <c r="Y951" s="3"/>
      <c r="Z951" s="3"/>
    </row>
    <row r="952" ht="15.75" customHeight="1">
      <c r="A952" s="3"/>
      <c r="B952" s="3"/>
      <c r="C952" s="7"/>
      <c r="D952" s="3"/>
      <c r="E952" s="3"/>
      <c r="F952" s="7"/>
      <c r="G952" s="4"/>
      <c r="H952" s="3"/>
      <c r="I952" s="3"/>
      <c r="J952" s="3"/>
      <c r="K952" s="3"/>
      <c r="L952" s="3"/>
      <c r="M952" s="3"/>
      <c r="N952" s="3"/>
      <c r="O952" s="3"/>
      <c r="P952" s="3"/>
      <c r="Q952" s="3"/>
      <c r="R952" s="3"/>
      <c r="S952" s="3"/>
      <c r="T952" s="3"/>
      <c r="U952" s="3"/>
      <c r="V952" s="3"/>
      <c r="W952" s="3"/>
      <c r="X952" s="3"/>
      <c r="Y952" s="3"/>
      <c r="Z952" s="3"/>
    </row>
    <row r="953" ht="15.75" customHeight="1">
      <c r="A953" s="3"/>
      <c r="B953" s="3"/>
      <c r="C953" s="7"/>
      <c r="D953" s="3"/>
      <c r="E953" s="3"/>
      <c r="F953" s="7"/>
      <c r="G953" s="4"/>
      <c r="H953" s="3"/>
      <c r="I953" s="3"/>
      <c r="J953" s="3"/>
      <c r="K953" s="3"/>
      <c r="L953" s="3"/>
      <c r="M953" s="3"/>
      <c r="N953" s="3"/>
      <c r="O953" s="3"/>
      <c r="P953" s="3"/>
      <c r="Q953" s="3"/>
      <c r="R953" s="3"/>
      <c r="S953" s="3"/>
      <c r="T953" s="3"/>
      <c r="U953" s="3"/>
      <c r="V953" s="3"/>
      <c r="W953" s="3"/>
      <c r="X953" s="3"/>
      <c r="Y953" s="3"/>
      <c r="Z953" s="3"/>
    </row>
    <row r="954" ht="15.75" customHeight="1">
      <c r="A954" s="3"/>
      <c r="B954" s="3"/>
      <c r="C954" s="7"/>
      <c r="D954" s="3"/>
      <c r="E954" s="3"/>
      <c r="F954" s="7"/>
      <c r="G954" s="4"/>
      <c r="H954" s="3"/>
      <c r="I954" s="3"/>
      <c r="J954" s="3"/>
      <c r="K954" s="3"/>
      <c r="L954" s="3"/>
      <c r="M954" s="3"/>
      <c r="N954" s="3"/>
      <c r="O954" s="3"/>
      <c r="P954" s="3"/>
      <c r="Q954" s="3"/>
      <c r="R954" s="3"/>
      <c r="S954" s="3"/>
      <c r="T954" s="3"/>
      <c r="U954" s="3"/>
      <c r="V954" s="3"/>
      <c r="W954" s="3"/>
      <c r="X954" s="3"/>
      <c r="Y954" s="3"/>
      <c r="Z954" s="3"/>
    </row>
    <row r="955" ht="15.75" customHeight="1">
      <c r="A955" s="3"/>
      <c r="B955" s="3"/>
      <c r="C955" s="7"/>
      <c r="D955" s="3"/>
      <c r="E955" s="3"/>
      <c r="F955" s="7"/>
      <c r="G955" s="4"/>
      <c r="H955" s="3"/>
      <c r="I955" s="3"/>
      <c r="J955" s="3"/>
      <c r="K955" s="3"/>
      <c r="L955" s="3"/>
      <c r="M955" s="3"/>
      <c r="N955" s="3"/>
      <c r="O955" s="3"/>
      <c r="P955" s="3"/>
      <c r="Q955" s="3"/>
      <c r="R955" s="3"/>
      <c r="S955" s="3"/>
      <c r="T955" s="3"/>
      <c r="U955" s="3"/>
      <c r="V955" s="3"/>
      <c r="W955" s="3"/>
      <c r="X955" s="3"/>
      <c r="Y955" s="3"/>
      <c r="Z955" s="3"/>
    </row>
    <row r="956" ht="15.75" customHeight="1">
      <c r="A956" s="3"/>
      <c r="B956" s="3"/>
      <c r="C956" s="7"/>
      <c r="D956" s="3"/>
      <c r="E956" s="3"/>
      <c r="F956" s="7"/>
      <c r="G956" s="4"/>
      <c r="H956" s="3"/>
      <c r="I956" s="3"/>
      <c r="J956" s="3"/>
      <c r="K956" s="3"/>
      <c r="L956" s="3"/>
      <c r="M956" s="3"/>
      <c r="N956" s="3"/>
      <c r="O956" s="3"/>
      <c r="P956" s="3"/>
      <c r="Q956" s="3"/>
      <c r="R956" s="3"/>
      <c r="S956" s="3"/>
      <c r="T956" s="3"/>
      <c r="U956" s="3"/>
      <c r="V956" s="3"/>
      <c r="W956" s="3"/>
      <c r="X956" s="3"/>
      <c r="Y956" s="3"/>
      <c r="Z956" s="3"/>
    </row>
    <row r="957" ht="15.75" customHeight="1">
      <c r="A957" s="3"/>
      <c r="B957" s="3"/>
      <c r="C957" s="7"/>
      <c r="D957" s="3"/>
      <c r="E957" s="3"/>
      <c r="F957" s="7"/>
      <c r="G957" s="4"/>
      <c r="H957" s="3"/>
      <c r="I957" s="3"/>
      <c r="J957" s="3"/>
      <c r="K957" s="3"/>
      <c r="L957" s="3"/>
      <c r="M957" s="3"/>
      <c r="N957" s="3"/>
      <c r="O957" s="3"/>
      <c r="P957" s="3"/>
      <c r="Q957" s="3"/>
      <c r="R957" s="3"/>
      <c r="S957" s="3"/>
      <c r="T957" s="3"/>
      <c r="U957" s="3"/>
      <c r="V957" s="3"/>
      <c r="W957" s="3"/>
      <c r="X957" s="3"/>
      <c r="Y957" s="3"/>
      <c r="Z957" s="3"/>
    </row>
    <row r="958" ht="15.75" customHeight="1">
      <c r="A958" s="3"/>
      <c r="B958" s="3"/>
      <c r="C958" s="7"/>
      <c r="D958" s="3"/>
      <c r="E958" s="3"/>
      <c r="F958" s="7"/>
      <c r="G958" s="4"/>
      <c r="H958" s="3"/>
      <c r="I958" s="3"/>
      <c r="J958" s="3"/>
      <c r="K958" s="3"/>
      <c r="L958" s="3"/>
      <c r="M958" s="3"/>
      <c r="N958" s="3"/>
      <c r="O958" s="3"/>
      <c r="P958" s="3"/>
      <c r="Q958" s="3"/>
      <c r="R958" s="3"/>
      <c r="S958" s="3"/>
      <c r="T958" s="3"/>
      <c r="U958" s="3"/>
      <c r="V958" s="3"/>
      <c r="W958" s="3"/>
      <c r="X958" s="3"/>
      <c r="Y958" s="3"/>
      <c r="Z958" s="3"/>
    </row>
    <row r="959" ht="15.75" customHeight="1">
      <c r="A959" s="3"/>
      <c r="B959" s="3"/>
      <c r="C959" s="7"/>
      <c r="D959" s="3"/>
      <c r="E959" s="3"/>
      <c r="F959" s="7"/>
      <c r="G959" s="4"/>
      <c r="H959" s="3"/>
      <c r="I959" s="3"/>
      <c r="J959" s="3"/>
      <c r="K959" s="3"/>
      <c r="L959" s="3"/>
      <c r="M959" s="3"/>
      <c r="N959" s="3"/>
      <c r="O959" s="3"/>
      <c r="P959" s="3"/>
      <c r="Q959" s="3"/>
      <c r="R959" s="3"/>
      <c r="S959" s="3"/>
      <c r="T959" s="3"/>
      <c r="U959" s="3"/>
      <c r="V959" s="3"/>
      <c r="W959" s="3"/>
      <c r="X959" s="3"/>
      <c r="Y959" s="3"/>
      <c r="Z959" s="3"/>
    </row>
    <row r="960" ht="15.75" customHeight="1">
      <c r="A960" s="3"/>
      <c r="B960" s="3"/>
      <c r="C960" s="7"/>
      <c r="D960" s="3"/>
      <c r="E960" s="3"/>
      <c r="F960" s="7"/>
      <c r="G960" s="4"/>
      <c r="H960" s="3"/>
      <c r="I960" s="3"/>
      <c r="J960" s="3"/>
      <c r="K960" s="3"/>
      <c r="L960" s="3"/>
      <c r="M960" s="3"/>
      <c r="N960" s="3"/>
      <c r="O960" s="3"/>
      <c r="P960" s="3"/>
      <c r="Q960" s="3"/>
      <c r="R960" s="3"/>
      <c r="S960" s="3"/>
      <c r="T960" s="3"/>
      <c r="U960" s="3"/>
      <c r="V960" s="3"/>
      <c r="W960" s="3"/>
      <c r="X960" s="3"/>
      <c r="Y960" s="3"/>
      <c r="Z960" s="3"/>
    </row>
    <row r="961" ht="15.75" customHeight="1">
      <c r="A961" s="3"/>
      <c r="B961" s="3"/>
      <c r="C961" s="7"/>
      <c r="D961" s="3"/>
      <c r="E961" s="3"/>
      <c r="F961" s="7"/>
      <c r="G961" s="4"/>
      <c r="H961" s="3"/>
      <c r="I961" s="3"/>
      <c r="J961" s="3"/>
      <c r="K961" s="3"/>
      <c r="L961" s="3"/>
      <c r="M961" s="3"/>
      <c r="N961" s="3"/>
      <c r="O961" s="3"/>
      <c r="P961" s="3"/>
      <c r="Q961" s="3"/>
      <c r="R961" s="3"/>
      <c r="S961" s="3"/>
      <c r="T961" s="3"/>
      <c r="U961" s="3"/>
      <c r="V961" s="3"/>
      <c r="W961" s="3"/>
      <c r="X961" s="3"/>
      <c r="Y961" s="3"/>
      <c r="Z961" s="3"/>
    </row>
    <row r="962" ht="15.75" customHeight="1">
      <c r="A962" s="3"/>
      <c r="B962" s="3"/>
      <c r="C962" s="7"/>
      <c r="D962" s="3"/>
      <c r="E962" s="3"/>
      <c r="F962" s="7"/>
      <c r="G962" s="4"/>
      <c r="H962" s="3"/>
      <c r="I962" s="3"/>
      <c r="J962" s="3"/>
      <c r="K962" s="3"/>
      <c r="L962" s="3"/>
      <c r="M962" s="3"/>
      <c r="N962" s="3"/>
      <c r="O962" s="3"/>
      <c r="P962" s="3"/>
      <c r="Q962" s="3"/>
      <c r="R962" s="3"/>
      <c r="S962" s="3"/>
      <c r="T962" s="3"/>
      <c r="U962" s="3"/>
      <c r="V962" s="3"/>
      <c r="W962" s="3"/>
      <c r="X962" s="3"/>
      <c r="Y962" s="3"/>
      <c r="Z962" s="3"/>
    </row>
    <row r="963" ht="15.75" customHeight="1">
      <c r="A963" s="3"/>
      <c r="B963" s="3"/>
      <c r="C963" s="7"/>
      <c r="D963" s="3"/>
      <c r="E963" s="3"/>
      <c r="F963" s="7"/>
      <c r="G963" s="4"/>
      <c r="H963" s="3"/>
      <c r="I963" s="3"/>
      <c r="J963" s="3"/>
      <c r="K963" s="3"/>
      <c r="L963" s="3"/>
      <c r="M963" s="3"/>
      <c r="N963" s="3"/>
      <c r="O963" s="3"/>
      <c r="P963" s="3"/>
      <c r="Q963" s="3"/>
      <c r="R963" s="3"/>
      <c r="S963" s="3"/>
      <c r="T963" s="3"/>
      <c r="U963" s="3"/>
      <c r="V963" s="3"/>
      <c r="W963" s="3"/>
      <c r="X963" s="3"/>
      <c r="Y963" s="3"/>
      <c r="Z963" s="3"/>
    </row>
    <row r="964" ht="15.75" customHeight="1">
      <c r="A964" s="3"/>
      <c r="B964" s="3"/>
      <c r="C964" s="7"/>
      <c r="D964" s="3"/>
      <c r="E964" s="3"/>
      <c r="F964" s="7"/>
      <c r="G964" s="4"/>
      <c r="H964" s="3"/>
      <c r="I964" s="3"/>
      <c r="J964" s="3"/>
      <c r="K964" s="3"/>
      <c r="L964" s="3"/>
      <c r="M964" s="3"/>
      <c r="N964" s="3"/>
      <c r="O964" s="3"/>
      <c r="P964" s="3"/>
      <c r="Q964" s="3"/>
      <c r="R964" s="3"/>
      <c r="S964" s="3"/>
      <c r="T964" s="3"/>
      <c r="U964" s="3"/>
      <c r="V964" s="3"/>
      <c r="W964" s="3"/>
      <c r="X964" s="3"/>
      <c r="Y964" s="3"/>
      <c r="Z964" s="3"/>
    </row>
    <row r="965" ht="15.75" customHeight="1">
      <c r="A965" s="3"/>
      <c r="B965" s="3"/>
      <c r="C965" s="7"/>
      <c r="D965" s="3"/>
      <c r="E965" s="3"/>
      <c r="F965" s="7"/>
      <c r="G965" s="4"/>
      <c r="H965" s="3"/>
      <c r="I965" s="3"/>
      <c r="J965" s="3"/>
      <c r="K965" s="3"/>
      <c r="L965" s="3"/>
      <c r="M965" s="3"/>
      <c r="N965" s="3"/>
      <c r="O965" s="3"/>
      <c r="P965" s="3"/>
      <c r="Q965" s="3"/>
      <c r="R965" s="3"/>
      <c r="S965" s="3"/>
      <c r="T965" s="3"/>
      <c r="U965" s="3"/>
      <c r="V965" s="3"/>
      <c r="W965" s="3"/>
      <c r="X965" s="3"/>
      <c r="Y965" s="3"/>
      <c r="Z965" s="3"/>
    </row>
    <row r="966" ht="15.75" customHeight="1">
      <c r="A966" s="3"/>
      <c r="B966" s="3"/>
      <c r="C966" s="7"/>
      <c r="D966" s="3"/>
      <c r="E966" s="3"/>
      <c r="F966" s="7"/>
      <c r="G966" s="4"/>
      <c r="H966" s="3"/>
      <c r="I966" s="3"/>
      <c r="J966" s="3"/>
      <c r="K966" s="3"/>
      <c r="L966" s="3"/>
      <c r="M966" s="3"/>
      <c r="N966" s="3"/>
      <c r="O966" s="3"/>
      <c r="P966" s="3"/>
      <c r="Q966" s="3"/>
      <c r="R966" s="3"/>
      <c r="S966" s="3"/>
      <c r="T966" s="3"/>
      <c r="U966" s="3"/>
      <c r="V966" s="3"/>
      <c r="W966" s="3"/>
      <c r="X966" s="3"/>
      <c r="Y966" s="3"/>
      <c r="Z966" s="3"/>
    </row>
    <row r="967" ht="15.75" customHeight="1">
      <c r="A967" s="3"/>
      <c r="B967" s="3"/>
      <c r="C967" s="7"/>
      <c r="D967" s="3"/>
      <c r="E967" s="3"/>
      <c r="F967" s="7"/>
      <c r="G967" s="4"/>
      <c r="H967" s="3"/>
      <c r="I967" s="3"/>
      <c r="J967" s="3"/>
      <c r="K967" s="3"/>
      <c r="L967" s="3"/>
      <c r="M967" s="3"/>
      <c r="N967" s="3"/>
      <c r="O967" s="3"/>
      <c r="P967" s="3"/>
      <c r="Q967" s="3"/>
      <c r="R967" s="3"/>
      <c r="S967" s="3"/>
      <c r="T967" s="3"/>
      <c r="U967" s="3"/>
      <c r="V967" s="3"/>
      <c r="W967" s="3"/>
      <c r="X967" s="3"/>
      <c r="Y967" s="3"/>
      <c r="Z967" s="3"/>
    </row>
    <row r="968" ht="15.75" customHeight="1">
      <c r="A968" s="3"/>
      <c r="B968" s="3"/>
      <c r="C968" s="7"/>
      <c r="D968" s="3"/>
      <c r="E968" s="3"/>
      <c r="F968" s="7"/>
      <c r="G968" s="4"/>
      <c r="H968" s="3"/>
      <c r="I968" s="3"/>
      <c r="J968" s="3"/>
      <c r="K968" s="3"/>
      <c r="L968" s="3"/>
      <c r="M968" s="3"/>
      <c r="N968" s="3"/>
      <c r="O968" s="3"/>
      <c r="P968" s="3"/>
      <c r="Q968" s="3"/>
      <c r="R968" s="3"/>
      <c r="S968" s="3"/>
      <c r="T968" s="3"/>
      <c r="U968" s="3"/>
      <c r="V968" s="3"/>
      <c r="W968" s="3"/>
      <c r="X968" s="3"/>
      <c r="Y968" s="3"/>
      <c r="Z968" s="3"/>
    </row>
    <row r="969" ht="15.75" customHeight="1">
      <c r="A969" s="3"/>
      <c r="B969" s="3"/>
      <c r="C969" s="7"/>
      <c r="D969" s="3"/>
      <c r="E969" s="3"/>
      <c r="F969" s="7"/>
      <c r="G969" s="4"/>
      <c r="H969" s="3"/>
      <c r="I969" s="3"/>
      <c r="J969" s="3"/>
      <c r="K969" s="3"/>
      <c r="L969" s="3"/>
      <c r="M969" s="3"/>
      <c r="N969" s="3"/>
      <c r="O969" s="3"/>
      <c r="P969" s="3"/>
      <c r="Q969" s="3"/>
      <c r="R969" s="3"/>
      <c r="S969" s="3"/>
      <c r="T969" s="3"/>
      <c r="U969" s="3"/>
      <c r="V969" s="3"/>
      <c r="W969" s="3"/>
      <c r="X969" s="3"/>
      <c r="Y969" s="3"/>
      <c r="Z969" s="3"/>
    </row>
    <row r="970" ht="15.75" customHeight="1">
      <c r="A970" s="3"/>
      <c r="B970" s="3"/>
      <c r="C970" s="7"/>
      <c r="D970" s="3"/>
      <c r="E970" s="3"/>
      <c r="F970" s="7"/>
      <c r="G970" s="4"/>
      <c r="H970" s="3"/>
      <c r="I970" s="3"/>
      <c r="J970" s="3"/>
      <c r="K970" s="3"/>
      <c r="L970" s="3"/>
      <c r="M970" s="3"/>
      <c r="N970" s="3"/>
      <c r="O970" s="3"/>
      <c r="P970" s="3"/>
      <c r="Q970" s="3"/>
      <c r="R970" s="3"/>
      <c r="S970" s="3"/>
      <c r="T970" s="3"/>
      <c r="U970" s="3"/>
      <c r="V970" s="3"/>
      <c r="W970" s="3"/>
      <c r="X970" s="3"/>
      <c r="Y970" s="3"/>
      <c r="Z970" s="3"/>
    </row>
    <row r="971" ht="15.75" customHeight="1">
      <c r="A971" s="3"/>
      <c r="B971" s="3"/>
      <c r="C971" s="7"/>
      <c r="D971" s="3"/>
      <c r="E971" s="3"/>
      <c r="F971" s="7"/>
      <c r="G971" s="4"/>
      <c r="H971" s="3"/>
      <c r="I971" s="3"/>
      <c r="J971" s="3"/>
      <c r="K971" s="3"/>
      <c r="L971" s="3"/>
      <c r="M971" s="3"/>
      <c r="N971" s="3"/>
      <c r="O971" s="3"/>
      <c r="P971" s="3"/>
      <c r="Q971" s="3"/>
      <c r="R971" s="3"/>
      <c r="S971" s="3"/>
      <c r="T971" s="3"/>
      <c r="U971" s="3"/>
      <c r="V971" s="3"/>
      <c r="W971" s="3"/>
      <c r="X971" s="3"/>
      <c r="Y971" s="3"/>
      <c r="Z971" s="3"/>
    </row>
    <row r="972" ht="15.75" customHeight="1">
      <c r="A972" s="3"/>
      <c r="B972" s="3"/>
      <c r="C972" s="7"/>
      <c r="D972" s="3"/>
      <c r="E972" s="3"/>
      <c r="F972" s="7"/>
      <c r="G972" s="4"/>
      <c r="H972" s="3"/>
      <c r="I972" s="3"/>
      <c r="J972" s="3"/>
      <c r="K972" s="3"/>
      <c r="L972" s="3"/>
      <c r="M972" s="3"/>
      <c r="N972" s="3"/>
      <c r="O972" s="3"/>
      <c r="P972" s="3"/>
      <c r="Q972" s="3"/>
      <c r="R972" s="3"/>
      <c r="S972" s="3"/>
      <c r="T972" s="3"/>
      <c r="U972" s="3"/>
      <c r="V972" s="3"/>
      <c r="W972" s="3"/>
      <c r="X972" s="3"/>
      <c r="Y972" s="3"/>
      <c r="Z972" s="3"/>
    </row>
    <row r="973" ht="15.75" customHeight="1">
      <c r="A973" s="3"/>
      <c r="B973" s="3"/>
      <c r="C973" s="7"/>
      <c r="D973" s="3"/>
      <c r="E973" s="3"/>
      <c r="F973" s="7"/>
      <c r="G973" s="4"/>
      <c r="H973" s="3"/>
      <c r="I973" s="3"/>
      <c r="J973" s="3"/>
      <c r="K973" s="3"/>
      <c r="L973" s="3"/>
      <c r="M973" s="3"/>
      <c r="N973" s="3"/>
      <c r="O973" s="3"/>
      <c r="P973" s="3"/>
      <c r="Q973" s="3"/>
      <c r="R973" s="3"/>
      <c r="S973" s="3"/>
      <c r="T973" s="3"/>
      <c r="U973" s="3"/>
      <c r="V973" s="3"/>
      <c r="W973" s="3"/>
      <c r="X973" s="3"/>
      <c r="Y973" s="3"/>
      <c r="Z973" s="3"/>
    </row>
    <row r="974" ht="15.75" customHeight="1">
      <c r="A974" s="3"/>
      <c r="B974" s="3"/>
      <c r="C974" s="7"/>
      <c r="D974" s="3"/>
      <c r="E974" s="3"/>
      <c r="F974" s="7"/>
      <c r="G974" s="4"/>
      <c r="H974" s="3"/>
      <c r="I974" s="3"/>
      <c r="J974" s="3"/>
      <c r="K974" s="3"/>
      <c r="L974" s="3"/>
      <c r="M974" s="3"/>
      <c r="N974" s="3"/>
      <c r="O974" s="3"/>
      <c r="P974" s="3"/>
      <c r="Q974" s="3"/>
      <c r="R974" s="3"/>
      <c r="S974" s="3"/>
      <c r="T974" s="3"/>
      <c r="U974" s="3"/>
      <c r="V974" s="3"/>
      <c r="W974" s="3"/>
      <c r="X974" s="3"/>
      <c r="Y974" s="3"/>
      <c r="Z974" s="3"/>
    </row>
    <row r="975" ht="15.75" customHeight="1">
      <c r="A975" s="3"/>
      <c r="B975" s="3"/>
      <c r="C975" s="7"/>
      <c r="D975" s="3"/>
      <c r="E975" s="3"/>
      <c r="F975" s="7"/>
      <c r="G975" s="4"/>
      <c r="H975" s="3"/>
      <c r="I975" s="3"/>
      <c r="J975" s="3"/>
      <c r="K975" s="3"/>
      <c r="L975" s="3"/>
      <c r="M975" s="3"/>
      <c r="N975" s="3"/>
      <c r="O975" s="3"/>
      <c r="P975" s="3"/>
      <c r="Q975" s="3"/>
      <c r="R975" s="3"/>
      <c r="S975" s="3"/>
      <c r="T975" s="3"/>
      <c r="U975" s="3"/>
      <c r="V975" s="3"/>
      <c r="W975" s="3"/>
      <c r="X975" s="3"/>
      <c r="Y975" s="3"/>
      <c r="Z975" s="3"/>
    </row>
    <row r="976" ht="15.75" customHeight="1">
      <c r="A976" s="3"/>
      <c r="B976" s="3"/>
      <c r="C976" s="7"/>
      <c r="D976" s="3"/>
      <c r="E976" s="3"/>
      <c r="F976" s="7"/>
      <c r="G976" s="4"/>
      <c r="H976" s="3"/>
      <c r="I976" s="3"/>
      <c r="J976" s="3"/>
      <c r="K976" s="3"/>
      <c r="L976" s="3"/>
      <c r="M976" s="3"/>
      <c r="N976" s="3"/>
      <c r="O976" s="3"/>
      <c r="P976" s="3"/>
      <c r="Q976" s="3"/>
      <c r="R976" s="3"/>
      <c r="S976" s="3"/>
      <c r="T976" s="3"/>
      <c r="U976" s="3"/>
      <c r="V976" s="3"/>
      <c r="W976" s="3"/>
      <c r="X976" s="3"/>
      <c r="Y976" s="3"/>
      <c r="Z976" s="3"/>
    </row>
    <row r="977" ht="15.75" customHeight="1">
      <c r="A977" s="3"/>
      <c r="B977" s="3"/>
      <c r="C977" s="7"/>
      <c r="D977" s="3"/>
      <c r="E977" s="3"/>
      <c r="F977" s="7"/>
      <c r="G977" s="4"/>
      <c r="H977" s="3"/>
      <c r="I977" s="3"/>
      <c r="J977" s="3"/>
      <c r="K977" s="3"/>
      <c r="L977" s="3"/>
      <c r="M977" s="3"/>
      <c r="N977" s="3"/>
      <c r="O977" s="3"/>
      <c r="P977" s="3"/>
      <c r="Q977" s="3"/>
      <c r="R977" s="3"/>
      <c r="S977" s="3"/>
      <c r="T977" s="3"/>
      <c r="U977" s="3"/>
      <c r="V977" s="3"/>
      <c r="W977" s="3"/>
      <c r="X977" s="3"/>
      <c r="Y977" s="3"/>
      <c r="Z977" s="3"/>
    </row>
    <row r="978" ht="15.75" customHeight="1">
      <c r="A978" s="3"/>
      <c r="B978" s="3"/>
      <c r="C978" s="7"/>
      <c r="D978" s="3"/>
      <c r="E978" s="3"/>
      <c r="F978" s="7"/>
      <c r="G978" s="4"/>
      <c r="H978" s="3"/>
      <c r="I978" s="3"/>
      <c r="J978" s="3"/>
      <c r="K978" s="3"/>
      <c r="L978" s="3"/>
      <c r="M978" s="3"/>
      <c r="N978" s="3"/>
      <c r="O978" s="3"/>
      <c r="P978" s="3"/>
      <c r="Q978" s="3"/>
      <c r="R978" s="3"/>
      <c r="S978" s="3"/>
      <c r="T978" s="3"/>
      <c r="U978" s="3"/>
      <c r="V978" s="3"/>
      <c r="W978" s="3"/>
      <c r="X978" s="3"/>
      <c r="Y978" s="3"/>
      <c r="Z978" s="3"/>
    </row>
    <row r="979" ht="15.75" customHeight="1">
      <c r="A979" s="3"/>
      <c r="B979" s="3"/>
      <c r="C979" s="7"/>
      <c r="D979" s="3"/>
      <c r="E979" s="3"/>
      <c r="F979" s="7"/>
      <c r="G979" s="4"/>
      <c r="H979" s="3"/>
      <c r="I979" s="3"/>
      <c r="J979" s="3"/>
      <c r="K979" s="3"/>
      <c r="L979" s="3"/>
      <c r="M979" s="3"/>
      <c r="N979" s="3"/>
      <c r="O979" s="3"/>
      <c r="P979" s="3"/>
      <c r="Q979" s="3"/>
      <c r="R979" s="3"/>
      <c r="S979" s="3"/>
      <c r="T979" s="3"/>
      <c r="U979" s="3"/>
      <c r="V979" s="3"/>
      <c r="W979" s="3"/>
      <c r="X979" s="3"/>
      <c r="Y979" s="3"/>
      <c r="Z979" s="3"/>
    </row>
    <row r="980" ht="15.75" customHeight="1">
      <c r="A980" s="3"/>
      <c r="B980" s="3"/>
      <c r="C980" s="7"/>
      <c r="D980" s="3"/>
      <c r="E980" s="3"/>
      <c r="F980" s="7"/>
      <c r="G980" s="4"/>
      <c r="H980" s="3"/>
      <c r="I980" s="3"/>
      <c r="J980" s="3"/>
      <c r="K980" s="3"/>
      <c r="L980" s="3"/>
      <c r="M980" s="3"/>
      <c r="N980" s="3"/>
      <c r="O980" s="3"/>
      <c r="P980" s="3"/>
      <c r="Q980" s="3"/>
      <c r="R980" s="3"/>
      <c r="S980" s="3"/>
      <c r="T980" s="3"/>
      <c r="U980" s="3"/>
      <c r="V980" s="3"/>
      <c r="W980" s="3"/>
      <c r="X980" s="3"/>
      <c r="Y980" s="3"/>
      <c r="Z980" s="3"/>
    </row>
    <row r="981" ht="15.75" customHeight="1">
      <c r="A981" s="3"/>
      <c r="B981" s="3"/>
      <c r="C981" s="7"/>
      <c r="D981" s="3"/>
      <c r="E981" s="3"/>
      <c r="F981" s="7"/>
      <c r="G981" s="4"/>
      <c r="H981" s="3"/>
      <c r="I981" s="3"/>
      <c r="J981" s="3"/>
      <c r="K981" s="3"/>
      <c r="L981" s="3"/>
      <c r="M981" s="3"/>
      <c r="N981" s="3"/>
      <c r="O981" s="3"/>
      <c r="P981" s="3"/>
      <c r="Q981" s="3"/>
      <c r="R981" s="3"/>
      <c r="S981" s="3"/>
      <c r="T981" s="3"/>
      <c r="U981" s="3"/>
      <c r="V981" s="3"/>
      <c r="W981" s="3"/>
      <c r="X981" s="3"/>
      <c r="Y981" s="3"/>
      <c r="Z981" s="3"/>
    </row>
    <row r="982" ht="15.75" customHeight="1">
      <c r="A982" s="3"/>
      <c r="B982" s="3"/>
      <c r="C982" s="7"/>
      <c r="D982" s="3"/>
      <c r="E982" s="3"/>
      <c r="F982" s="7"/>
      <c r="G982" s="4"/>
      <c r="H982" s="3"/>
      <c r="I982" s="3"/>
      <c r="J982" s="3"/>
      <c r="K982" s="3"/>
      <c r="L982" s="3"/>
      <c r="M982" s="3"/>
      <c r="N982" s="3"/>
      <c r="O982" s="3"/>
      <c r="P982" s="3"/>
      <c r="Q982" s="3"/>
      <c r="R982" s="3"/>
      <c r="S982" s="3"/>
      <c r="T982" s="3"/>
      <c r="U982" s="3"/>
      <c r="V982" s="3"/>
      <c r="W982" s="3"/>
      <c r="X982" s="3"/>
      <c r="Y982" s="3"/>
      <c r="Z982" s="3"/>
    </row>
    <row r="983" ht="15.75" customHeight="1">
      <c r="A983" s="3"/>
      <c r="B983" s="3"/>
      <c r="C983" s="7"/>
      <c r="D983" s="3"/>
      <c r="E983" s="3"/>
      <c r="F983" s="7"/>
      <c r="G983" s="4"/>
      <c r="H983" s="3"/>
      <c r="I983" s="3"/>
      <c r="J983" s="3"/>
      <c r="K983" s="3"/>
      <c r="L983" s="3"/>
      <c r="M983" s="3"/>
      <c r="N983" s="3"/>
      <c r="O983" s="3"/>
      <c r="P983" s="3"/>
      <c r="Q983" s="3"/>
      <c r="R983" s="3"/>
      <c r="S983" s="3"/>
      <c r="T983" s="3"/>
      <c r="U983" s="3"/>
      <c r="V983" s="3"/>
      <c r="W983" s="3"/>
      <c r="X983" s="3"/>
      <c r="Y983" s="3"/>
      <c r="Z983" s="3"/>
    </row>
    <row r="984" ht="15.75" customHeight="1">
      <c r="A984" s="3"/>
      <c r="B984" s="3"/>
      <c r="C984" s="7"/>
      <c r="D984" s="3"/>
      <c r="E984" s="3"/>
      <c r="F984" s="7"/>
      <c r="G984" s="4"/>
      <c r="H984" s="3"/>
      <c r="I984" s="3"/>
      <c r="J984" s="3"/>
      <c r="K984" s="3"/>
      <c r="L984" s="3"/>
      <c r="M984" s="3"/>
      <c r="N984" s="3"/>
      <c r="O984" s="3"/>
      <c r="P984" s="3"/>
      <c r="Q984" s="3"/>
      <c r="R984" s="3"/>
      <c r="S984" s="3"/>
      <c r="T984" s="3"/>
      <c r="U984" s="3"/>
      <c r="V984" s="3"/>
      <c r="W984" s="3"/>
      <c r="X984" s="3"/>
      <c r="Y984" s="3"/>
      <c r="Z984" s="3"/>
    </row>
    <row r="985" ht="15.75" customHeight="1">
      <c r="A985" s="3"/>
      <c r="B985" s="3"/>
      <c r="C985" s="7"/>
      <c r="D985" s="3"/>
      <c r="E985" s="3"/>
      <c r="F985" s="7"/>
      <c r="G985" s="4"/>
      <c r="H985" s="3"/>
      <c r="I985" s="3"/>
      <c r="J985" s="3"/>
      <c r="K985" s="3"/>
      <c r="L985" s="3"/>
      <c r="M985" s="3"/>
      <c r="N985" s="3"/>
      <c r="O985" s="3"/>
      <c r="P985" s="3"/>
      <c r="Q985" s="3"/>
      <c r="R985" s="3"/>
      <c r="S985" s="3"/>
      <c r="T985" s="3"/>
      <c r="U985" s="3"/>
      <c r="V985" s="3"/>
      <c r="W985" s="3"/>
      <c r="X985" s="3"/>
      <c r="Y985" s="3"/>
      <c r="Z985" s="3"/>
    </row>
    <row r="986" ht="15.75" customHeight="1">
      <c r="A986" s="3"/>
      <c r="B986" s="3"/>
      <c r="C986" s="7"/>
      <c r="D986" s="3"/>
      <c r="E986" s="3"/>
      <c r="F986" s="7"/>
      <c r="G986" s="4"/>
      <c r="H986" s="3"/>
      <c r="I986" s="3"/>
      <c r="J986" s="3"/>
      <c r="K986" s="3"/>
      <c r="L986" s="3"/>
      <c r="M986" s="3"/>
      <c r="N986" s="3"/>
      <c r="O986" s="3"/>
      <c r="P986" s="3"/>
      <c r="Q986" s="3"/>
      <c r="R986" s="3"/>
      <c r="S986" s="3"/>
      <c r="T986" s="3"/>
      <c r="U986" s="3"/>
      <c r="V986" s="3"/>
      <c r="W986" s="3"/>
      <c r="X986" s="3"/>
      <c r="Y986" s="3"/>
      <c r="Z986" s="3"/>
    </row>
    <row r="987" ht="15.75" customHeight="1">
      <c r="A987" s="3"/>
      <c r="B987" s="3"/>
      <c r="C987" s="7"/>
      <c r="D987" s="3"/>
      <c r="E987" s="3"/>
      <c r="F987" s="7"/>
      <c r="G987" s="4"/>
      <c r="H987" s="3"/>
      <c r="I987" s="3"/>
      <c r="J987" s="3"/>
      <c r="K987" s="3"/>
      <c r="L987" s="3"/>
      <c r="M987" s="3"/>
      <c r="N987" s="3"/>
      <c r="O987" s="3"/>
      <c r="P987" s="3"/>
      <c r="Q987" s="3"/>
      <c r="R987" s="3"/>
      <c r="S987" s="3"/>
      <c r="T987" s="3"/>
      <c r="U987" s="3"/>
      <c r="V987" s="3"/>
      <c r="W987" s="3"/>
      <c r="X987" s="3"/>
      <c r="Y987" s="3"/>
      <c r="Z987" s="3"/>
    </row>
    <row r="988" ht="15.75" customHeight="1">
      <c r="A988" s="3"/>
      <c r="B988" s="3"/>
      <c r="C988" s="7"/>
      <c r="D988" s="3"/>
      <c r="E988" s="3"/>
      <c r="F988" s="7"/>
      <c r="G988" s="4"/>
      <c r="H988" s="3"/>
      <c r="I988" s="3"/>
      <c r="J988" s="3"/>
      <c r="K988" s="3"/>
      <c r="L988" s="3"/>
      <c r="M988" s="3"/>
      <c r="N988" s="3"/>
      <c r="O988" s="3"/>
      <c r="P988" s="3"/>
      <c r="Q988" s="3"/>
      <c r="R988" s="3"/>
      <c r="S988" s="3"/>
      <c r="T988" s="3"/>
      <c r="U988" s="3"/>
      <c r="V988" s="3"/>
      <c r="W988" s="3"/>
      <c r="X988" s="3"/>
      <c r="Y988" s="3"/>
      <c r="Z988" s="3"/>
    </row>
    <row r="989" ht="15.75" customHeight="1">
      <c r="A989" s="3"/>
      <c r="B989" s="3"/>
      <c r="C989" s="7"/>
      <c r="D989" s="3"/>
      <c r="E989" s="3"/>
      <c r="F989" s="7"/>
      <c r="G989" s="4"/>
      <c r="H989" s="3"/>
      <c r="I989" s="3"/>
      <c r="J989" s="3"/>
      <c r="K989" s="3"/>
      <c r="L989" s="3"/>
      <c r="M989" s="3"/>
      <c r="N989" s="3"/>
      <c r="O989" s="3"/>
      <c r="P989" s="3"/>
      <c r="Q989" s="3"/>
      <c r="R989" s="3"/>
      <c r="S989" s="3"/>
      <c r="T989" s="3"/>
      <c r="U989" s="3"/>
      <c r="V989" s="3"/>
      <c r="W989" s="3"/>
      <c r="X989" s="3"/>
      <c r="Y989" s="3"/>
      <c r="Z989" s="3"/>
    </row>
    <row r="990" ht="15.75" customHeight="1">
      <c r="A990" s="3"/>
      <c r="B990" s="3"/>
      <c r="C990" s="7"/>
      <c r="D990" s="3"/>
      <c r="E990" s="3"/>
      <c r="F990" s="7"/>
      <c r="G990" s="4"/>
      <c r="H990" s="3"/>
      <c r="I990" s="3"/>
      <c r="J990" s="3"/>
      <c r="K990" s="3"/>
      <c r="L990" s="3"/>
      <c r="M990" s="3"/>
      <c r="N990" s="3"/>
      <c r="O990" s="3"/>
      <c r="P990" s="3"/>
      <c r="Q990" s="3"/>
      <c r="R990" s="3"/>
      <c r="S990" s="3"/>
      <c r="T990" s="3"/>
      <c r="U990" s="3"/>
      <c r="V990" s="3"/>
      <c r="W990" s="3"/>
      <c r="X990" s="3"/>
      <c r="Y990" s="3"/>
      <c r="Z990" s="3"/>
    </row>
    <row r="991" ht="15.75" customHeight="1">
      <c r="A991" s="3"/>
      <c r="B991" s="3"/>
      <c r="C991" s="7"/>
      <c r="D991" s="3"/>
      <c r="E991" s="3"/>
      <c r="F991" s="7"/>
      <c r="G991" s="4"/>
      <c r="H991" s="3"/>
      <c r="I991" s="3"/>
      <c r="J991" s="3"/>
      <c r="K991" s="3"/>
      <c r="L991" s="3"/>
      <c r="M991" s="3"/>
      <c r="N991" s="3"/>
      <c r="O991" s="3"/>
      <c r="P991" s="3"/>
      <c r="Q991" s="3"/>
      <c r="R991" s="3"/>
      <c r="S991" s="3"/>
      <c r="T991" s="3"/>
      <c r="U991" s="3"/>
      <c r="V991" s="3"/>
      <c r="W991" s="3"/>
      <c r="X991" s="3"/>
      <c r="Y991" s="3"/>
      <c r="Z991" s="3"/>
    </row>
    <row r="992" ht="15.75" customHeight="1">
      <c r="A992" s="3"/>
      <c r="B992" s="3"/>
      <c r="C992" s="7"/>
      <c r="D992" s="3"/>
      <c r="E992" s="3"/>
      <c r="F992" s="7"/>
      <c r="G992" s="4"/>
      <c r="H992" s="3"/>
      <c r="I992" s="3"/>
      <c r="J992" s="3"/>
      <c r="K992" s="3"/>
      <c r="L992" s="3"/>
      <c r="M992" s="3"/>
      <c r="N992" s="3"/>
      <c r="O992" s="3"/>
      <c r="P992" s="3"/>
      <c r="Q992" s="3"/>
      <c r="R992" s="3"/>
      <c r="S992" s="3"/>
      <c r="T992" s="3"/>
      <c r="U992" s="3"/>
      <c r="V992" s="3"/>
      <c r="W992" s="3"/>
      <c r="X992" s="3"/>
      <c r="Y992" s="3"/>
      <c r="Z992" s="3"/>
    </row>
    <row r="993" ht="15.75" customHeight="1">
      <c r="A993" s="3"/>
      <c r="B993" s="3"/>
      <c r="C993" s="7"/>
      <c r="D993" s="3"/>
      <c r="E993" s="3"/>
      <c r="F993" s="7"/>
      <c r="G993" s="4"/>
      <c r="H993" s="3"/>
      <c r="I993" s="3"/>
      <c r="J993" s="3"/>
      <c r="K993" s="3"/>
      <c r="L993" s="3"/>
      <c r="M993" s="3"/>
      <c r="N993" s="3"/>
      <c r="O993" s="3"/>
      <c r="P993" s="3"/>
      <c r="Q993" s="3"/>
      <c r="R993" s="3"/>
      <c r="S993" s="3"/>
      <c r="T993" s="3"/>
      <c r="U993" s="3"/>
      <c r="V993" s="3"/>
      <c r="W993" s="3"/>
      <c r="X993" s="3"/>
      <c r="Y993" s="3"/>
      <c r="Z993" s="3"/>
    </row>
    <row r="994" ht="15.75" customHeight="1">
      <c r="A994" s="3"/>
      <c r="B994" s="3"/>
      <c r="C994" s="7"/>
      <c r="D994" s="3"/>
      <c r="E994" s="3"/>
      <c r="F994" s="7"/>
      <c r="G994" s="4"/>
      <c r="H994" s="3"/>
      <c r="I994" s="3"/>
      <c r="J994" s="3"/>
      <c r="K994" s="3"/>
      <c r="L994" s="3"/>
      <c r="M994" s="3"/>
      <c r="N994" s="3"/>
      <c r="O994" s="3"/>
      <c r="P994" s="3"/>
      <c r="Q994" s="3"/>
      <c r="R994" s="3"/>
      <c r="S994" s="3"/>
      <c r="T994" s="3"/>
      <c r="U994" s="3"/>
      <c r="V994" s="3"/>
      <c r="W994" s="3"/>
      <c r="X994" s="3"/>
      <c r="Y994" s="3"/>
      <c r="Z994" s="3"/>
    </row>
    <row r="995" ht="15.75" customHeight="1">
      <c r="A995" s="3"/>
      <c r="B995" s="3"/>
      <c r="C995" s="7"/>
      <c r="D995" s="3"/>
      <c r="E995" s="3"/>
      <c r="F995" s="7"/>
      <c r="G995" s="4"/>
      <c r="H995" s="3"/>
      <c r="I995" s="3"/>
      <c r="J995" s="3"/>
      <c r="K995" s="3"/>
      <c r="L995" s="3"/>
      <c r="M995" s="3"/>
      <c r="N995" s="3"/>
      <c r="O995" s="3"/>
      <c r="P995" s="3"/>
      <c r="Q995" s="3"/>
      <c r="R995" s="3"/>
      <c r="S995" s="3"/>
      <c r="T995" s="3"/>
      <c r="U995" s="3"/>
      <c r="V995" s="3"/>
      <c r="W995" s="3"/>
      <c r="X995" s="3"/>
      <c r="Y995" s="3"/>
      <c r="Z995" s="3"/>
    </row>
    <row r="996" ht="15.75" customHeight="1">
      <c r="A996" s="3"/>
      <c r="B996" s="3"/>
      <c r="C996" s="7"/>
      <c r="D996" s="3"/>
      <c r="E996" s="3"/>
      <c r="F996" s="7"/>
      <c r="G996" s="4"/>
      <c r="H996" s="3"/>
      <c r="I996" s="3"/>
      <c r="J996" s="3"/>
      <c r="K996" s="3"/>
      <c r="L996" s="3"/>
      <c r="M996" s="3"/>
      <c r="N996" s="3"/>
      <c r="O996" s="3"/>
      <c r="P996" s="3"/>
      <c r="Q996" s="3"/>
      <c r="R996" s="3"/>
      <c r="S996" s="3"/>
      <c r="T996" s="3"/>
      <c r="U996" s="3"/>
      <c r="V996" s="3"/>
      <c r="W996" s="3"/>
      <c r="X996" s="3"/>
      <c r="Y996" s="3"/>
      <c r="Z996" s="3"/>
    </row>
    <row r="997" ht="15.75" customHeight="1">
      <c r="A997" s="3"/>
      <c r="B997" s="3"/>
      <c r="C997" s="7"/>
      <c r="D997" s="3"/>
      <c r="E997" s="3"/>
      <c r="F997" s="7"/>
      <c r="G997" s="4"/>
      <c r="H997" s="3"/>
      <c r="I997" s="3"/>
      <c r="J997" s="3"/>
      <c r="K997" s="3"/>
      <c r="L997" s="3"/>
      <c r="M997" s="3"/>
      <c r="N997" s="3"/>
      <c r="O997" s="3"/>
      <c r="P997" s="3"/>
      <c r="Q997" s="3"/>
      <c r="R997" s="3"/>
      <c r="S997" s="3"/>
      <c r="T997" s="3"/>
      <c r="U997" s="3"/>
      <c r="V997" s="3"/>
      <c r="W997" s="3"/>
      <c r="X997" s="3"/>
      <c r="Y997" s="3"/>
      <c r="Z997" s="3"/>
    </row>
    <row r="998" ht="15.75" customHeight="1">
      <c r="A998" s="3"/>
      <c r="B998" s="3"/>
      <c r="C998" s="7"/>
      <c r="D998" s="3"/>
      <c r="E998" s="3"/>
      <c r="F998" s="7"/>
      <c r="G998" s="4"/>
      <c r="H998" s="3"/>
      <c r="I998" s="3"/>
      <c r="J998" s="3"/>
      <c r="K998" s="3"/>
      <c r="L998" s="3"/>
      <c r="M998" s="3"/>
      <c r="N998" s="3"/>
      <c r="O998" s="3"/>
      <c r="P998" s="3"/>
      <c r="Q998" s="3"/>
      <c r="R998" s="3"/>
      <c r="S998" s="3"/>
      <c r="T998" s="3"/>
      <c r="U998" s="3"/>
      <c r="V998" s="3"/>
      <c r="W998" s="3"/>
      <c r="X998" s="3"/>
      <c r="Y998" s="3"/>
      <c r="Z998" s="3"/>
    </row>
    <row r="999" ht="15.75" customHeight="1">
      <c r="A999" s="3"/>
      <c r="B999" s="3"/>
      <c r="C999" s="7"/>
      <c r="D999" s="3"/>
      <c r="E999" s="3"/>
      <c r="F999" s="7"/>
      <c r="G999" s="4"/>
      <c r="H999" s="3"/>
      <c r="I999" s="3"/>
      <c r="J999" s="3"/>
      <c r="K999" s="3"/>
      <c r="L999" s="3"/>
      <c r="M999" s="3"/>
      <c r="N999" s="3"/>
      <c r="O999" s="3"/>
      <c r="P999" s="3"/>
      <c r="Q999" s="3"/>
      <c r="R999" s="3"/>
      <c r="S999" s="3"/>
      <c r="T999" s="3"/>
      <c r="U999" s="3"/>
      <c r="V999" s="3"/>
      <c r="W999" s="3"/>
      <c r="X999" s="3"/>
      <c r="Y999" s="3"/>
      <c r="Z999" s="3"/>
    </row>
    <row r="1000" ht="15.75" customHeight="1">
      <c r="A1000" s="3"/>
      <c r="B1000" s="3"/>
      <c r="C1000" s="7"/>
      <c r="D1000" s="3"/>
      <c r="E1000" s="3"/>
      <c r="F1000" s="7"/>
      <c r="G1000" s="4"/>
      <c r="H1000" s="3"/>
      <c r="I1000" s="3"/>
      <c r="J1000" s="3"/>
      <c r="K1000" s="3"/>
      <c r="L1000" s="3"/>
      <c r="M1000" s="3"/>
      <c r="N1000" s="3"/>
      <c r="O1000" s="3"/>
      <c r="P1000" s="3"/>
      <c r="Q1000" s="3"/>
      <c r="R1000" s="3"/>
      <c r="S1000" s="3"/>
      <c r="T1000" s="3"/>
      <c r="U1000" s="3"/>
      <c r="V1000" s="3"/>
      <c r="W1000" s="3"/>
      <c r="X1000" s="3"/>
      <c r="Y1000" s="3"/>
      <c r="Z1000" s="3"/>
    </row>
  </sheetData>
  <mergeCells count="5">
    <mergeCell ref="A1:B1"/>
    <mergeCell ref="D1:E1"/>
    <mergeCell ref="G1:H1"/>
    <mergeCell ref="I1:J1"/>
    <mergeCell ref="K1:L1"/>
  </mergeCells>
  <printOptions/>
  <pageMargins bottom="0.787401575" footer="0.0" header="0.0" left="0.511811024" right="0.511811024" top="0.787401575"/>
  <pageSetup orientation="landscape"/>
  <drawing r:id="rId1"/>
</worksheet>
</file>